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92d6bc9ea539e/Dokumente/UCPH/Master Thesis/Data/"/>
    </mc:Choice>
  </mc:AlternateContent>
  <xr:revisionPtr revIDLastSave="1137" documentId="8_{1A5D5B7A-F2A4-4CB6-9A4C-BF588ADC0C1D}" xr6:coauthVersionLast="47" xr6:coauthVersionMax="47" xr10:uidLastSave="{35951419-44BC-49E9-9503-5283A46C5ED4}"/>
  <bookViews>
    <workbookView xWindow="-45" yWindow="-16320" windowWidth="29040" windowHeight="15720" xr2:uid="{94566309-3C90-4E14-8E45-E4129DD80AB1}"/>
  </bookViews>
  <sheets>
    <sheet name="R_technologies" sheetId="11" r:id="rId1"/>
    <sheet name="References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B5" i="11"/>
  <c r="B4" i="11"/>
  <c r="B3" i="11"/>
  <c r="B2" i="11"/>
  <c r="C4" i="11"/>
  <c r="C5" i="11"/>
  <c r="C3" i="11" l="1"/>
</calcChain>
</file>

<file path=xl/sharedStrings.xml><?xml version="1.0" encoding="utf-8"?>
<sst xmlns="http://schemas.openxmlformats.org/spreadsheetml/2006/main" count="58" uniqueCount="42">
  <si>
    <t>MW</t>
  </si>
  <si>
    <t>Unit</t>
  </si>
  <si>
    <t>Coal</t>
  </si>
  <si>
    <t>LNG</t>
  </si>
  <si>
    <r>
      <t>Energy Statistics Division, Ministry of Economic Affairs.</t>
    </r>
    <r>
      <rPr>
        <sz val="11"/>
        <color theme="1"/>
        <rFont val="Aptos Narrow"/>
        <family val="2"/>
        <scheme val="minor"/>
      </rPr>
      <t xml:space="preserve"> (2024). </t>
    </r>
    <r>
      <rPr>
        <i/>
        <sz val="11"/>
        <color theme="1"/>
        <rFont val="Aptos Narrow"/>
        <family val="2"/>
        <scheme val="minor"/>
      </rPr>
      <t>A1-02. 燃料燃燒碳排放指標表 (113) [CO₂ Emissions Indicators from Fuel Combustion (2024)]</t>
    </r>
    <r>
      <rPr>
        <sz val="11"/>
        <color theme="1"/>
        <rFont val="Aptos Narrow"/>
        <family val="2"/>
        <scheme val="minor"/>
      </rPr>
      <t xml:space="preserve"> [Data file]. https://www.esist.org.tw/attachments/handbook/2024/docs/A1-02.%E7%87%83%E6%96%99%E7%87%83%E7%87%92%E7%A2%B3%E6%8E%92%E6%94%BE%E6%8C%87%E6%A8%99%E8%A1%A8(113).xlsx</t>
    </r>
  </si>
  <si>
    <r>
      <t xml:space="preserve">Energy Statistics Integrated System of Taiwan. (2024). </t>
    </r>
    <r>
      <rPr>
        <i/>
        <sz val="11"/>
        <color theme="1"/>
        <rFont val="Aptos Narrow"/>
        <family val="2"/>
        <scheme val="minor"/>
      </rPr>
      <t>Installed electricity generation capacity (113) [Data file]</t>
    </r>
    <r>
      <rPr>
        <sz val="11"/>
        <color theme="1"/>
        <rFont val="Aptos Narrow"/>
        <family val="2"/>
        <scheme val="minor"/>
      </rPr>
      <t>. https://www.esist.org.tw/attachments/handbook/2024/docs/3-02.%E7%99%BC%E9%9B%BB%E8%A3%9D%E7%BD%AE%E5%AE%B9%E9%87%8F(113).xlsx</t>
    </r>
  </si>
  <si>
    <r>
      <t xml:space="preserve">Taiwan Power Company. (2025, June 1). </t>
    </r>
    <r>
      <rPr>
        <i/>
        <sz val="11"/>
        <color theme="1"/>
        <rFont val="Aptos Narrow"/>
        <family val="2"/>
        <scheme val="minor"/>
      </rPr>
      <t>Power generation costs of various generation methods.</t>
    </r>
    <r>
      <rPr>
        <sz val="11"/>
        <color theme="1"/>
        <rFont val="Aptos Narrow"/>
        <family val="2"/>
        <scheme val="minor"/>
      </rPr>
      <t xml:space="preserve"> Government Open Data Platform. https://data.gov.tw/en/datasets/10856</t>
    </r>
  </si>
  <si>
    <t>capacity factor</t>
  </si>
  <si>
    <t>USD/MWh</t>
  </si>
  <si>
    <t>c_i</t>
  </si>
  <si>
    <t>Offshore_wind</t>
  </si>
  <si>
    <t>e_i</t>
  </si>
  <si>
    <t>tech</t>
  </si>
  <si>
    <t>cap_factor</t>
  </si>
  <si>
    <t>gamma</t>
  </si>
  <si>
    <t>delta</t>
  </si>
  <si>
    <t>xi</t>
  </si>
  <si>
    <t>lambda</t>
  </si>
  <si>
    <t>Solar_PV</t>
  </si>
  <si>
    <t>I_i</t>
  </si>
  <si>
    <t>starting_cap</t>
  </si>
  <si>
    <t>mean_theta</t>
  </si>
  <si>
    <t>depreciation</t>
  </si>
  <si>
    <t>I_pre</t>
  </si>
  <si>
    <t>Abbreviation</t>
  </si>
  <si>
    <t>Description</t>
  </si>
  <si>
    <t>Source</t>
  </si>
  <si>
    <t>variable cost</t>
  </si>
  <si>
    <t>starting capacity</t>
  </si>
  <si>
    <t>emission factor</t>
  </si>
  <si>
    <t>average probability of disruption</t>
  </si>
  <si>
    <t>depreciation rate</t>
  </si>
  <si>
    <r>
      <t xml:space="preserve">Lau, H. C., &amp; Tsai, S. C. (2022). </t>
    </r>
    <r>
      <rPr>
        <i/>
        <sz val="11"/>
        <color theme="1"/>
        <rFont val="Aptos Narrow"/>
        <family val="2"/>
        <scheme val="minor"/>
      </rPr>
      <t>A decarbonization roadmap for Taiwan and its energy policy implications</t>
    </r>
    <r>
      <rPr>
        <sz val="11"/>
        <color theme="1"/>
        <rFont val="Aptos Narrow"/>
        <family val="2"/>
        <scheme val="minor"/>
      </rPr>
      <t>. Sustainability, 14(14), 8425. https://doi.org/10.3390/su14148425</t>
    </r>
  </si>
  <si>
    <t>Wang, C.-K.; Lee, C.-M. Power System Decarbonization Assessment: A Case Study from Taiwan. Energies 2024, 17, 859. https://doi.org/10.3390/en17040859</t>
  </si>
  <si>
    <t>investment/ construction cost</t>
  </si>
  <si>
    <t>investment cost with adjusted unit, rootsquare of I_pre, to match the model</t>
  </si>
  <si>
    <t>from distributions</t>
  </si>
  <si>
    <t>generic average depreciation rates</t>
  </si>
  <si>
    <t>from energy security scoring</t>
  </si>
  <si>
    <t>%</t>
  </si>
  <si>
    <t>USD/MW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</si>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</sst>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0.0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1"/>
      <charset val="136"/>
      <scheme val="minor"/>
    </font>
    <font>
      <sz val="12"/>
      <name val="Times New Roman"/>
      <family val="1"/>
    </font>
    <font>
      <sz val="12"/>
      <name val="新細明體"/>
      <family val="1"/>
      <charset val="136"/>
    </font>
    <font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>
      <alignment vertical="center"/>
    </xf>
    <xf numFmtId="0" fontId="21" fillId="0" borderId="0"/>
  </cellStyleXfs>
  <cellXfs count="9">
    <xf numFmtId="0" fontId="0" fillId="0" borderId="0" xfId="0"/>
    <xf numFmtId="0" fontId="16" fillId="0" borderId="0" xfId="0" applyFont="1"/>
    <xf numFmtId="2" fontId="0" fillId="0" borderId="0" xfId="0" applyNumberFormat="1"/>
    <xf numFmtId="172" fontId="0" fillId="0" borderId="0" xfId="0" applyNumberFormat="1"/>
    <xf numFmtId="2" fontId="0" fillId="0" borderId="0" xfId="43" applyNumberFormat="1" applyFont="1"/>
    <xf numFmtId="2" fontId="0" fillId="0" borderId="0" xfId="42" applyNumberFormat="1" applyFont="1"/>
    <xf numFmtId="0" fontId="22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81A3624C-F40A-49E7-9FAC-573DF2A5A56B}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  <cellStyle name="一般_WESRB001" xfId="45" xr:uid="{B3E65799-869A-4FD9-8ACD-E9A30EF3534B}"/>
  </cellStyles>
  <dxfs count="11">
    <dxf>
      <numFmt numFmtId="172" formatCode="0.0000"/>
    </dxf>
    <dxf>
      <numFmt numFmtId="172" formatCode="0.0000"/>
    </dxf>
    <dxf>
      <numFmt numFmtId="172" formatCode="0.0000"/>
    </dxf>
    <dxf>
      <numFmt numFmtId="172" formatCode="0.0000"/>
    </dxf>
    <dxf>
      <numFmt numFmtId="172" formatCode="0.0000"/>
    </dxf>
    <dxf>
      <numFmt numFmtId="172" formatCode="0.0000"/>
      <fill>
        <patternFill patternType="solid">
          <fgColor indexed="64"/>
          <bgColor rgb="FFFFFF00"/>
        </patternFill>
      </fill>
    </dxf>
    <dxf>
      <numFmt numFmtId="172" formatCode="0.0000"/>
    </dxf>
    <dxf>
      <numFmt numFmtId="2" formatCode="0.00"/>
    </dxf>
    <dxf>
      <numFmt numFmtId="2" formatCode="0.00"/>
    </dxf>
    <dxf>
      <numFmt numFmtId="172" formatCode="0.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75A65F-CE7B-4765-8802-25945DCE1E48}" name="Table810" displayName="Table810" ref="A1:M6" totalsRowShown="0">
  <autoFilter ref="A1:M6" xr:uid="{A3312BBA-E729-420D-85C4-FC8B2CD2B3D3}"/>
  <tableColumns count="13">
    <tableColumn id="1" xr3:uid="{5FEFAAE3-5CD4-479D-99FF-3073BF773A97}" name="tech"/>
    <tableColumn id="13" xr3:uid="{F9ACB3B5-3721-4290-B529-0E1488CAB5AE}" name="I_pre"/>
    <tableColumn id="12" xr3:uid="{68206CBC-7691-42DC-A1B9-2FD722387039}" name="I_i" dataDxfId="10">
      <calculatedColumnFormula>SQRT(Table810[[#This Row],[I_pre]])</calculatedColumnFormula>
    </tableColumn>
    <tableColumn id="2" xr3:uid="{8ABB1CD6-9970-4468-8816-EDE1C6F1911C}" name="c_i" dataDxfId="9">
      <calculatedColumnFormula>#REF!*1000*#REF!</calculatedColumnFormula>
    </tableColumn>
    <tableColumn id="14" xr3:uid="{18261F13-0235-4E14-973B-F38740250B7D}" name="starting_cap" dataDxfId="8"/>
    <tableColumn id="4" xr3:uid="{46985AD6-3A8E-4086-8FFF-0DF99ACE5E23}" name="cap_factor" dataDxfId="7" dataCellStyle="Per cent"/>
    <tableColumn id="5" xr3:uid="{58DBD067-FCF6-4BD9-8A23-B29A2ADD6DB1}" name="e_i" dataDxfId="6">
      <calculatedColumnFormula>#REF!/#REF!</calculatedColumnFormula>
    </tableColumn>
    <tableColumn id="10" xr3:uid="{BB1400A1-D85B-416B-ADC7-8F5DA0D5A9BD}" name="mean_theta" dataDxfId="5">
      <calculatedColumnFormula>#REF!*$F$19</calculatedColumnFormula>
    </tableColumn>
    <tableColumn id="11" xr3:uid="{B762005C-4EC5-4C3E-87C7-5A98A635F74D}" name="depreciation" dataDxfId="4"/>
    <tableColumn id="6" xr3:uid="{C921681C-2D64-4525-97C7-64C5E5BEC590}" name="gamma" dataDxfId="3"/>
    <tableColumn id="7" xr3:uid="{9BCD1A9D-C478-4D40-B34D-F8501A6E5F17}" name="delta" dataDxfId="2"/>
    <tableColumn id="8" xr3:uid="{18E3B268-5950-4B98-B4A9-A881255ACF23}" name="xi" dataDxfId="1"/>
    <tableColumn id="9" xr3:uid="{664AA68B-6713-40FF-847F-86559682E3D7}" name="lambd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070-E8EB-478E-B29B-A348EAE9DF56}">
  <dimension ref="A1:M5"/>
  <sheetViews>
    <sheetView tabSelected="1" zoomScale="110" zoomScaleNormal="110" workbookViewId="0">
      <selection activeCell="H8" sqref="H8"/>
    </sheetView>
  </sheetViews>
  <sheetFormatPr defaultRowHeight="14.5"/>
  <cols>
    <col min="1" max="2" width="18.54296875" customWidth="1"/>
    <col min="3" max="3" width="14.08984375" customWidth="1"/>
    <col min="4" max="5" width="14.81640625" customWidth="1"/>
    <col min="6" max="6" width="16.26953125" bestFit="1" customWidth="1"/>
    <col min="7" max="7" width="8.08984375" customWidth="1"/>
    <col min="8" max="8" width="14.90625" customWidth="1"/>
    <col min="9" max="9" width="13.36328125" customWidth="1"/>
  </cols>
  <sheetData>
    <row r="1" spans="1:13">
      <c r="A1" t="s">
        <v>12</v>
      </c>
      <c r="B1" t="s">
        <v>23</v>
      </c>
      <c r="C1" t="s">
        <v>19</v>
      </c>
      <c r="D1" t="s">
        <v>9</v>
      </c>
      <c r="E1" t="s">
        <v>20</v>
      </c>
      <c r="F1" t="s">
        <v>13</v>
      </c>
      <c r="G1" t="s">
        <v>11</v>
      </c>
      <c r="H1" t="s">
        <v>21</v>
      </c>
      <c r="I1" t="s">
        <v>22</v>
      </c>
      <c r="J1" t="s">
        <v>14</v>
      </c>
      <c r="K1" t="s">
        <v>15</v>
      </c>
      <c r="L1" t="s">
        <v>16</v>
      </c>
      <c r="M1" t="s">
        <v>17</v>
      </c>
    </row>
    <row r="2" spans="1:13">
      <c r="A2" t="s">
        <v>2</v>
      </c>
      <c r="B2" s="2">
        <f>2600*1000</f>
        <v>2600000</v>
      </c>
      <c r="C2" s="2">
        <f>SQRT(Table810[[#This Row],[I_pre]])</f>
        <v>1612.4515496597098</v>
      </c>
      <c r="D2" s="2">
        <v>95.204999999999998</v>
      </c>
      <c r="E2" s="2">
        <v>19885.344000000001</v>
      </c>
      <c r="F2" s="4">
        <v>0.78</v>
      </c>
      <c r="G2" s="2">
        <v>1.2081309024312705</v>
      </c>
      <c r="H2" s="3">
        <v>0.54510000000000003</v>
      </c>
      <c r="I2" s="2">
        <v>2.5000000000000001E-2</v>
      </c>
      <c r="J2" s="2">
        <v>-0.20000000000000018</v>
      </c>
      <c r="K2" s="2">
        <v>0.87423001847858406</v>
      </c>
      <c r="L2" s="2">
        <v>0</v>
      </c>
      <c r="M2" s="2">
        <v>1</v>
      </c>
    </row>
    <row r="3" spans="1:13">
      <c r="A3" t="s">
        <v>3</v>
      </c>
      <c r="B3" s="2">
        <f>838.92*1000</f>
        <v>838920</v>
      </c>
      <c r="C3" s="2">
        <f>SQRT(Table810[[#This Row],[I_pre]])</f>
        <v>915.92576118373267</v>
      </c>
      <c r="D3" s="2">
        <v>106.59</v>
      </c>
      <c r="E3" s="2">
        <v>20096.419999999998</v>
      </c>
      <c r="F3" s="4">
        <v>0.55000000000000004</v>
      </c>
      <c r="G3" s="2">
        <v>0.47321137356643167</v>
      </c>
      <c r="H3" s="3">
        <v>0.69630000000000003</v>
      </c>
      <c r="I3" s="2">
        <v>2.9000000000000001E-2</v>
      </c>
      <c r="J3" s="2">
        <v>-0.9304</v>
      </c>
      <c r="K3" s="2">
        <v>1.0935237766612222</v>
      </c>
      <c r="L3" s="2">
        <v>0</v>
      </c>
      <c r="M3" s="2">
        <v>1</v>
      </c>
    </row>
    <row r="4" spans="1:13">
      <c r="A4" t="s">
        <v>10</v>
      </c>
      <c r="B4" s="2">
        <f>4064.33*1000</f>
        <v>4064330</v>
      </c>
      <c r="C4" s="2">
        <f>SQRT(Table810[[#This Row],[I_pre]])</f>
        <v>2016.0183530910624</v>
      </c>
      <c r="D4" s="2">
        <v>181.17000000000002</v>
      </c>
      <c r="E4" s="2">
        <v>3905.0466999999999</v>
      </c>
      <c r="F4" s="4">
        <v>0.28000000000000003</v>
      </c>
      <c r="G4" s="2">
        <v>0</v>
      </c>
      <c r="H4" s="3">
        <v>0.25690000000000002</v>
      </c>
      <c r="I4" s="2">
        <v>0.04</v>
      </c>
      <c r="J4" s="2">
        <v>4.4400000000000002E-2</v>
      </c>
      <c r="K4" s="2">
        <v>0.96919999999999984</v>
      </c>
      <c r="L4" s="2">
        <v>0</v>
      </c>
      <c r="M4" s="2">
        <v>1</v>
      </c>
    </row>
    <row r="5" spans="1:13">
      <c r="A5" t="s">
        <v>18</v>
      </c>
      <c r="B5" s="2">
        <f>1208.37*1000</f>
        <v>1208370</v>
      </c>
      <c r="C5" s="2">
        <f>SQRT(Table810[[#This Row],[I_pre]])</f>
        <v>1099.2588412198465</v>
      </c>
      <c r="D5" s="2">
        <v>145.36500000000001</v>
      </c>
      <c r="E5" s="5">
        <v>14281.1</v>
      </c>
      <c r="F5" s="4">
        <v>0.11</v>
      </c>
      <c r="G5" s="2">
        <v>0</v>
      </c>
      <c r="H5" s="3">
        <v>0.34470000000000001</v>
      </c>
      <c r="I5" s="2">
        <v>0.04</v>
      </c>
      <c r="J5" s="2">
        <v>-0.2</v>
      </c>
      <c r="K5" s="2">
        <v>1.4</v>
      </c>
      <c r="L5" s="2">
        <v>0</v>
      </c>
      <c r="M5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B949-B7CF-47D4-BC2D-C82D7947450B}">
  <dimension ref="A1:N15"/>
  <sheetViews>
    <sheetView workbookViewId="0">
      <selection activeCell="A2" sqref="A2"/>
    </sheetView>
  </sheetViews>
  <sheetFormatPr defaultRowHeight="14.5"/>
  <cols>
    <col min="1" max="1" width="11.54296875" bestFit="1" customWidth="1"/>
    <col min="2" max="2" width="11.54296875" customWidth="1"/>
    <col min="3" max="3" width="24.7265625" customWidth="1"/>
    <col min="4" max="4" width="62.7265625" customWidth="1"/>
  </cols>
  <sheetData>
    <row r="1" spans="1:14" ht="28.5">
      <c r="A1" s="6" t="s">
        <v>41</v>
      </c>
      <c r="B1" s="6"/>
    </row>
    <row r="2" spans="1:14">
      <c r="A2" s="1" t="s">
        <v>24</v>
      </c>
      <c r="B2" s="1" t="s">
        <v>1</v>
      </c>
      <c r="C2" s="1" t="s">
        <v>25</v>
      </c>
      <c r="D2" s="1" t="s">
        <v>26</v>
      </c>
    </row>
    <row r="3" spans="1:14" ht="43.5">
      <c r="A3" t="s">
        <v>23</v>
      </c>
      <c r="B3" t="s">
        <v>40</v>
      </c>
      <c r="C3" s="7" t="s">
        <v>34</v>
      </c>
      <c r="D3" s="7" t="s">
        <v>33</v>
      </c>
    </row>
    <row r="4" spans="1:14" ht="43.5">
      <c r="A4" t="s">
        <v>19</v>
      </c>
      <c r="C4" s="7" t="s">
        <v>35</v>
      </c>
    </row>
    <row r="5" spans="1:14" ht="43.5">
      <c r="A5" t="s">
        <v>9</v>
      </c>
      <c r="B5" t="s">
        <v>8</v>
      </c>
      <c r="C5" s="8" t="s">
        <v>27</v>
      </c>
      <c r="D5" s="7" t="s">
        <v>6</v>
      </c>
      <c r="E5" s="7"/>
      <c r="F5" s="7"/>
      <c r="G5" s="7"/>
      <c r="H5" s="7"/>
      <c r="I5" s="2"/>
      <c r="J5" s="2"/>
      <c r="K5" s="2"/>
      <c r="L5" s="2"/>
      <c r="M5" s="2"/>
      <c r="N5" s="2"/>
    </row>
    <row r="6" spans="1:14" ht="72.5">
      <c r="A6" t="s">
        <v>20</v>
      </c>
      <c r="B6" t="s">
        <v>0</v>
      </c>
      <c r="C6" s="7" t="s">
        <v>28</v>
      </c>
      <c r="D6" s="7" t="s">
        <v>5</v>
      </c>
      <c r="E6" s="7"/>
      <c r="F6" s="7"/>
      <c r="G6" s="7"/>
      <c r="H6" s="7"/>
      <c r="I6" s="7"/>
      <c r="J6" s="7"/>
    </row>
    <row r="7" spans="1:14" ht="43.5">
      <c r="A7" t="s">
        <v>13</v>
      </c>
      <c r="B7" t="s">
        <v>39</v>
      </c>
      <c r="C7" s="7" t="s">
        <v>7</v>
      </c>
      <c r="D7" s="7" t="s">
        <v>32</v>
      </c>
    </row>
    <row r="8" spans="1:14" ht="87">
      <c r="A8" t="s">
        <v>11</v>
      </c>
      <c r="B8" t="s">
        <v>39</v>
      </c>
      <c r="C8" s="7" t="s">
        <v>29</v>
      </c>
      <c r="D8" s="7" t="s">
        <v>4</v>
      </c>
      <c r="E8" s="7"/>
      <c r="F8" s="7"/>
      <c r="G8" s="7"/>
      <c r="H8" s="7"/>
      <c r="I8" s="7"/>
      <c r="J8" s="7"/>
      <c r="K8" s="7"/>
    </row>
    <row r="9" spans="1:14" ht="29">
      <c r="A9" t="s">
        <v>21</v>
      </c>
      <c r="C9" s="7" t="s">
        <v>30</v>
      </c>
      <c r="D9" s="7" t="s">
        <v>36</v>
      </c>
    </row>
    <row r="10" spans="1:14">
      <c r="A10" t="s">
        <v>22</v>
      </c>
      <c r="C10" s="7" t="s">
        <v>31</v>
      </c>
      <c r="D10" s="7" t="s">
        <v>37</v>
      </c>
    </row>
    <row r="11" spans="1:14">
      <c r="A11" t="s">
        <v>14</v>
      </c>
      <c r="C11" s="7"/>
      <c r="D11" s="7" t="s">
        <v>38</v>
      </c>
    </row>
    <row r="12" spans="1:14">
      <c r="A12" t="s">
        <v>15</v>
      </c>
      <c r="C12" s="7"/>
      <c r="D12" s="7" t="s">
        <v>38</v>
      </c>
    </row>
    <row r="13" spans="1:14">
      <c r="A13" t="s">
        <v>16</v>
      </c>
      <c r="C13" s="7"/>
      <c r="D13" s="7" t="s">
        <v>38</v>
      </c>
    </row>
    <row r="14" spans="1:14">
      <c r="A14" t="s">
        <v>17</v>
      </c>
      <c r="C14" s="7"/>
      <c r="D14" s="7" t="s">
        <v>38</v>
      </c>
    </row>
    <row r="15" spans="1:14">
      <c r="C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R_technologies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Yu-Ting Lan</cp:lastModifiedBy>
  <dcterms:created xsi:type="dcterms:W3CDTF">2025-10-30T10:44:58Z</dcterms:created>
  <dcterms:modified xsi:type="dcterms:W3CDTF">2025-12-06T19:15:21Z</dcterms:modified>
</cp:coreProperties>
</file>