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592d6bc9ea539e/Dokumente/UCPH/Master Thesis/Data/"/>
    </mc:Choice>
  </mc:AlternateContent>
  <xr:revisionPtr revIDLastSave="1212" documentId="8_{1EE51F91-6854-486C-9513-6A0DFB61A099}" xr6:coauthVersionLast="47" xr6:coauthVersionMax="47" xr10:uidLastSave="{AD3F32A4-E95B-455A-A074-0831E1768587}"/>
  <bookViews>
    <workbookView xWindow="-45" yWindow="-16320" windowWidth="29040" windowHeight="15720" activeTab="6" xr2:uid="{0A0F3F3E-744B-4EDE-8AE4-7878CC892F95}"/>
  </bookViews>
  <sheets>
    <sheet name="Summary" sheetId="14" r:id="rId1"/>
    <sheet name="1.a" sheetId="10" r:id="rId2"/>
    <sheet name="1.b" sheetId="17" r:id="rId3"/>
    <sheet name="1.c" sheetId="11" r:id="rId4"/>
    <sheet name="2.a" sheetId="13" r:id="rId5"/>
    <sheet name="2.b" sheetId="9" r:id="rId6"/>
    <sheet name="2.c" sheetId="12" r:id="rId7"/>
    <sheet name="2.d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3" l="1"/>
  <c r="M8" i="14" l="1"/>
  <c r="M9" i="14"/>
  <c r="C7" i="14"/>
  <c r="C6" i="14"/>
  <c r="I9" i="17"/>
  <c r="D7" i="14" s="1"/>
  <c r="D4" i="17"/>
  <c r="E4" i="17"/>
  <c r="C4" i="17"/>
  <c r="I10" i="17" l="1"/>
  <c r="D8" i="14" s="1"/>
  <c r="I7" i="17"/>
  <c r="D6" i="14" s="1"/>
  <c r="I8" i="17"/>
  <c r="I11" i="17"/>
  <c r="D9" i="14" s="1"/>
  <c r="D9" i="10"/>
  <c r="C9" i="14" s="1"/>
  <c r="L6" i="14"/>
  <c r="M6" i="14" s="1"/>
  <c r="L7" i="14"/>
  <c r="M7" i="14" s="1"/>
  <c r="F6" i="14"/>
  <c r="G6" i="14" s="1"/>
  <c r="F7" i="14"/>
  <c r="G7" i="14" s="1"/>
  <c r="H5" i="11"/>
  <c r="H6" i="11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H6" i="13"/>
  <c r="I6" i="13" s="1"/>
  <c r="E7" i="13"/>
  <c r="E5" i="13"/>
  <c r="D8" i="10"/>
  <c r="C8" i="14" s="1"/>
  <c r="F8" i="14" s="1"/>
  <c r="G8" i="14" s="1"/>
  <c r="D6" i="10"/>
  <c r="D5" i="10"/>
  <c r="D7" i="10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K12" i="9" l="1"/>
  <c r="K13" i="9"/>
  <c r="K17" i="9"/>
  <c r="K18" i="9"/>
  <c r="K19" i="9"/>
  <c r="K21" i="9"/>
  <c r="K10" i="9"/>
  <c r="K9" i="9"/>
  <c r="K8" i="9"/>
  <c r="H5" i="13"/>
  <c r="I5" i="13" s="1"/>
  <c r="F9" i="14"/>
  <c r="G9" i="14" s="1"/>
  <c r="K16" i="9"/>
  <c r="K7" i="9"/>
  <c r="K14" i="9"/>
  <c r="K20" i="9"/>
  <c r="K11" i="9"/>
  <c r="K15" i="9"/>
  <c r="K6" i="9"/>
  <c r="N6" i="9" s="1"/>
  <c r="N7" i="9" l="1"/>
</calcChain>
</file>

<file path=xl/sharedStrings.xml><?xml version="1.0" encoding="utf-8"?>
<sst xmlns="http://schemas.openxmlformats.org/spreadsheetml/2006/main" count="222" uniqueCount="111">
  <si>
    <t>Coal</t>
  </si>
  <si>
    <t>Oil</t>
  </si>
  <si>
    <t>Import dependence</t>
  </si>
  <si>
    <t>LNG</t>
  </si>
  <si>
    <t>Weight</t>
  </si>
  <si>
    <t>Offshore wind</t>
  </si>
  <si>
    <t>high storability</t>
  </si>
  <si>
    <t>high storability, refer to required reserves also</t>
  </si>
  <si>
    <t>limited stockpiles in cryogenic tanks (~9 days required reserves), moderate buffering</t>
  </si>
  <si>
    <t>Stable fuel source, low natural variability; variability mainly from geopolitical/market factors with moderate risk</t>
  </si>
  <si>
    <t>High geopolitical volatility and market price fluctuations cause significant resource variability</t>
  </si>
  <si>
    <t>Moderate geopolitical and supply risks; variability in liquefaction and shipping impacts availability, stable fuel availability, existing supply infrastructure</t>
  </si>
  <si>
    <t>none, no fuel storage, limited battery energy storage, although improving</t>
  </si>
  <si>
    <t>Country</t>
  </si>
  <si>
    <t>Australia</t>
  </si>
  <si>
    <t>Indonesia</t>
  </si>
  <si>
    <t>Source</t>
  </si>
  <si>
    <t>Russia</t>
  </si>
  <si>
    <t>South Africa</t>
  </si>
  <si>
    <t>Colombia</t>
  </si>
  <si>
    <t>Canada</t>
  </si>
  <si>
    <t>United States</t>
  </si>
  <si>
    <t>Others</t>
  </si>
  <si>
    <t>HHI</t>
  </si>
  <si>
    <t>Share^2</t>
  </si>
  <si>
    <t>Share (%)</t>
  </si>
  <si>
    <t>Qatar</t>
  </si>
  <si>
    <t>Papua New Guinea</t>
  </si>
  <si>
    <t>Malaysia</t>
  </si>
  <si>
    <t>Nigeria</t>
  </si>
  <si>
    <t>Brunei Darussalam</t>
  </si>
  <si>
    <t>2.b Geographic concentration of fuel suppliers 2024</t>
  </si>
  <si>
    <t>2.c Political stability of fuel exporting countries</t>
  </si>
  <si>
    <t>Fragile States Index</t>
  </si>
  <si>
    <t>Min</t>
  </si>
  <si>
    <t>Normalized</t>
  </si>
  <si>
    <t>https://fragilestatesindex.org/global-data/</t>
  </si>
  <si>
    <t>Max (bad)</t>
  </si>
  <si>
    <t>Reserse</t>
  </si>
  <si>
    <t>Normal</t>
  </si>
  <si>
    <t>Political Risk Index</t>
  </si>
  <si>
    <t>Fragile States Index 2024</t>
  </si>
  <si>
    <t>Political Risk Index 2022</t>
  </si>
  <si>
    <t>https://www.worldbank.org/content/dam/sites/govindicators/doc/PRS.xlsx</t>
  </si>
  <si>
    <t>Max (good)</t>
  </si>
  <si>
    <t>Political Stability and Absence of Violence/Terrorism: Estimate</t>
  </si>
  <si>
    <t xml:space="preserve">Min </t>
  </si>
  <si>
    <t>https://data.worldbank.org/indicator/PV.EST?most_recent_value_desc=true&amp;type=shaded</t>
  </si>
  <si>
    <t>Political Stability and Absence of Violence/Terrorism: Estimate 2023</t>
  </si>
  <si>
    <t>Score</t>
  </si>
  <si>
    <t>1.a Import dependency</t>
  </si>
  <si>
    <t>Mainland China</t>
  </si>
  <si>
    <t>1.c Reserve-to-consumption ratio</t>
  </si>
  <si>
    <t>Benchmark?</t>
  </si>
  <si>
    <t>IEA requirement of 90 days</t>
  </si>
  <si>
    <t>China has 30 days: https://www.bakerinstitute.org/sites/default/files/2024-06/Tes-Collins-Energy-Stockpiling-062024_0.pdf?utm_source=chatgpt.com</t>
  </si>
  <si>
    <t>2.c Entry points</t>
  </si>
  <si>
    <t>Energy source</t>
  </si>
  <si>
    <t>No. Of entry points</t>
  </si>
  <si>
    <t>IEA score</t>
  </si>
  <si>
    <t>medium</t>
  </si>
  <si>
    <t>Reference</t>
  </si>
  <si>
    <t>1.b Resource variability</t>
  </si>
  <si>
    <t>1. Main source of variability</t>
  </si>
  <si>
    <t>2. Storability</t>
  </si>
  <si>
    <t>Score 1.</t>
  </si>
  <si>
    <t>Score 2.</t>
  </si>
  <si>
    <t>Weighted score</t>
  </si>
  <si>
    <t>IEA rating</t>
  </si>
  <si>
    <t>moderate</t>
  </si>
  <si>
    <t>numeric</t>
  </si>
  <si>
    <t>high</t>
  </si>
  <si>
    <t>compared to R/P ratio, below OECD average -&gt; argue for it</t>
  </si>
  <si>
    <t>Score (reverse)</t>
  </si>
  <si>
    <r>
      <t xml:space="preserve">Bureau of Energy, Ministry of Economic Affairs. (n.d.). </t>
    </r>
    <r>
      <rPr>
        <i/>
        <sz val="10.5"/>
        <color theme="1"/>
        <rFont val="Segoe UI"/>
        <family val="2"/>
      </rPr>
      <t>Energy Statistics Handbook: Chapter 3-14 — Coal supply and consumption (Coal_Quantity)</t>
    </r>
    <r>
      <rPr>
        <sz val="10.5"/>
        <color theme="1"/>
        <rFont val="Segoe UI"/>
        <family val="2"/>
      </rPr>
      <t xml:space="preserve">. </t>
    </r>
    <r>
      <rPr>
        <i/>
        <sz val="10.5"/>
        <color theme="1"/>
        <rFont val="Segoe UI"/>
        <family val="2"/>
      </rPr>
      <t>Energy Statistics Information System of Taiwan (ESIST)</t>
    </r>
    <r>
      <rPr>
        <sz val="10.5"/>
        <color theme="1"/>
        <rFont val="Segoe UI"/>
        <family val="2"/>
      </rPr>
      <t xml:space="preserve">. Retrieved October 26, 2025, from https://www.esist.org.tw/en/publication/handbook?tab=Energy+Indicators&amp;subtab= </t>
    </r>
  </si>
  <si>
    <r>
      <t xml:space="preserve">Bureau of Energy, Ministry of Economic Affairs. (n.d.). </t>
    </r>
    <r>
      <rPr>
        <i/>
        <sz val="11"/>
        <color theme="1"/>
        <rFont val="Aptos Narrow"/>
        <family val="2"/>
        <scheme val="minor"/>
      </rPr>
      <t>Energy Statistics Handbook: Chapter 1-01 — Energy indicators.</t>
    </r>
    <r>
      <rPr>
        <sz val="11"/>
        <color theme="1"/>
        <rFont val="Aptos Narrow"/>
        <family val="2"/>
        <scheme val="minor"/>
      </rPr>
      <t xml:space="preserve"> Energy Statistics Information System of Taiwan (ESIST). Retrieved October 26, 2025, from 
https://www.esist.org.tw/en/publication/handbook?tab=Energy+Indicators&amp;subtab=</t>
    </r>
  </si>
  <si>
    <r>
      <t>Ministry of Economic Affairs. (2024, May 27).</t>
    </r>
    <r>
      <rPr>
        <i/>
        <sz val="11"/>
        <color theme="1"/>
        <rFont val="Aptos Narrow"/>
        <family val="2"/>
        <scheme val="minor"/>
      </rPr>
      <t xml:space="preserve"> 原油、天然氣及燃煤進口運送正常，不受中共軍演影響，國內儲備充足，安全無虞 [Imports and transportation of crude oil, natural gas, and coal remain normal and unaffected by PLA military drills; domestic reserves are sufficient and secure].</t>
    </r>
    <r>
      <rPr>
        <sz val="11"/>
        <color theme="1"/>
        <rFont val="Aptos Narrow"/>
        <family val="2"/>
        <scheme val="minor"/>
      </rPr>
      <t xml:space="preserve"> https://www.moea.gov.tw/Mns/populace/news/News.aspx?kind=1&amp;menu_id=40&amp;news_id=114926</t>
    </r>
  </si>
  <si>
    <r>
      <t xml:space="preserve">晏明強. (2022, August 17). </t>
    </r>
    <r>
      <rPr>
        <i/>
        <sz val="11"/>
        <rFont val="Aptos Narrow"/>
        <family val="2"/>
        <scheme val="minor"/>
      </rPr>
      <t xml:space="preserve">台海封鎖戰3》油、氣進不來，台灣能撐多少天不停電？戰備儲油夠安全嗎？ [Taiwan Strait blockade scenario 3: Oil and gas cannot enter, how many days can Taiwan sustain without blackout? Is strategic oil storage sufficient?] </t>
    </r>
    <r>
      <rPr>
        <sz val="11"/>
        <rFont val="Aptos Narrow"/>
        <family val="2"/>
        <scheme val="minor"/>
      </rPr>
      <t>Storm Media. https://www.storm.mg/article/4474040</t>
    </r>
  </si>
  <si>
    <r>
      <rPr>
        <sz val="11"/>
        <rFont val="Aptos Narrow"/>
        <family val="2"/>
        <scheme val="minor"/>
      </rPr>
      <t xml:space="preserve">Boone, M. (2023, September 6). </t>
    </r>
    <r>
      <rPr>
        <i/>
        <sz val="11"/>
        <rFont val="Aptos Narrow"/>
        <family val="2"/>
        <scheme val="minor"/>
      </rPr>
      <t xml:space="preserve">Securing Taiwan’s Black Gold: A Crude Analysis. </t>
    </r>
    <r>
      <rPr>
        <sz val="11"/>
        <rFont val="Aptos Narrow"/>
        <family val="2"/>
        <scheme val="minor"/>
      </rPr>
      <t>Global Taiwan Institute. https://globaltaiwan.org/2023/09/securing-taiwans-black-gold-a-crude-analysis/</t>
    </r>
  </si>
  <si>
    <r>
      <t xml:space="preserve">Simorre, A. (2024, October). </t>
    </r>
    <r>
      <rPr>
        <i/>
        <sz val="11"/>
        <color theme="1"/>
        <rFont val="Aptos Narrow"/>
        <family val="2"/>
        <scheme val="minor"/>
      </rPr>
      <t>Taiwan’s energy supply: The Achilles’ heel of national security</t>
    </r>
    <r>
      <rPr>
        <sz val="11"/>
        <color theme="1"/>
        <rFont val="Aptos Narrow"/>
        <family val="2"/>
        <scheme val="minor"/>
      </rPr>
      <t xml:space="preserve"> (Asie.Visions, No. 142). French Institute of International Relations (Ifri). https://www.ifri.org/sites/default/files/2024-10/ifri_simorre_approvisionnement_energetique_taiwan_2024.pdf</t>
    </r>
  </si>
  <si>
    <t>low</t>
  </si>
  <si>
    <t>Overview scoring</t>
  </si>
  <si>
    <t>1.a Import dependence</t>
  </si>
  <si>
    <t>1.c R/C ratio</t>
  </si>
  <si>
    <t>2.a Geographic concentration</t>
  </si>
  <si>
    <t>2.b Political stability</t>
  </si>
  <si>
    <t>Gamma</t>
  </si>
  <si>
    <t>Delta</t>
  </si>
  <si>
    <r>
      <t>Ministry of Economic Affairs. (2011, August 2).</t>
    </r>
    <r>
      <rPr>
        <i/>
        <sz val="11"/>
        <color theme="1"/>
        <rFont val="Aptos Narrow"/>
        <family val="2"/>
        <scheme val="minor"/>
      </rPr>
      <t xml:space="preserve"> 天然氣生產或進口事業自備儲槽容量 [Regulations governing self-owned storage tank capacity for natural gas production or import enterprises]. </t>
    </r>
    <r>
      <rPr>
        <sz val="11"/>
        <color theme="1"/>
        <rFont val="Aptos Narrow"/>
        <family val="2"/>
        <scheme val="minor"/>
      </rPr>
      <t>Republic of China (Taiwan). https://law.moea.gov.tw/LawContent.aspx?id=GL000621</t>
    </r>
  </si>
  <si>
    <t>Solar</t>
  </si>
  <si>
    <t>Solar PV</t>
  </si>
  <si>
    <t>Metric</t>
  </si>
  <si>
    <r>
      <t>Cheng, K.-S., Ho, C.-Y., &amp; Teng, J.-H. (2020). Wind Characteristics in the Taiwan Strait: A Case Study of the First Offshore Wind Farm in Taiwan. </t>
    </r>
    <r>
      <rPr>
        <i/>
        <sz val="11"/>
        <color rgb="FF222222"/>
        <rFont val="Aptos Narrow"/>
        <family val="2"/>
        <scheme val="minor"/>
      </rPr>
      <t>Energies</t>
    </r>
    <r>
      <rPr>
        <sz val="11"/>
        <color rgb="FF222222"/>
        <rFont val="Aptos Narrow"/>
        <family val="2"/>
        <scheme val="minor"/>
      </rPr>
      <t>, </t>
    </r>
    <r>
      <rPr>
        <i/>
        <sz val="11"/>
        <color rgb="FF222222"/>
        <rFont val="Aptos Narrow"/>
        <family val="2"/>
        <scheme val="minor"/>
      </rPr>
      <t>13</t>
    </r>
    <r>
      <rPr>
        <sz val="11"/>
        <color rgb="FF222222"/>
        <rFont val="Aptos Narrow"/>
        <family val="2"/>
        <scheme val="minor"/>
      </rPr>
      <t>(24), 6492. https://doi.org/10.3390/en13246492</t>
    </r>
  </si>
  <si>
    <r>
      <rPr>
        <sz val="11"/>
        <color theme="1"/>
        <rFont val="Aptos Narrow"/>
        <family val="2"/>
      </rPr>
      <t>•</t>
    </r>
    <r>
      <rPr>
        <sz val="10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>generally high tue to seasonal changes, frequent cloudy periods, and weather events like typhoons. Solar in Taiwan is more variable than wind
• low capacity utilization: 11%
•  study (https://www.mdpi.com/2071-1050/14/14/8425#table_body_display_sustainability-14-08425-t0A7) ranks solar low, offshore wind medium</t>
    </r>
  </si>
  <si>
    <t>3. Capacity factor</t>
  </si>
  <si>
    <t>Score 3.</t>
  </si>
  <si>
    <t>Qualitative assessment taken into account typhoon exposure, flooding risk, hot temperature &gt;35°C</t>
  </si>
  <si>
    <t>Operating probability of 68.72%: chance that wind speed is between the cut-in and cut-out wind speeds. cut-in wind speed (minimum wind speed for the wind turbine to operate), and  cut-out wind speed (maximum wind speed before being turned off the wind turbine for equipment protection).</t>
  </si>
  <si>
    <r>
      <t xml:space="preserve">Yang, C. (2025, July 16). </t>
    </r>
    <r>
      <rPr>
        <i/>
        <sz val="11"/>
        <color theme="1"/>
        <rFont val="Aptos Narrow"/>
        <family val="2"/>
        <scheme val="minor"/>
      </rPr>
      <t>Typhoon Danas damages 145,000 solar panels in southern Taiwan.</t>
    </r>
    <r>
      <rPr>
        <sz val="11"/>
        <color theme="1"/>
        <rFont val="Aptos Narrow"/>
        <family val="2"/>
        <scheme val="minor"/>
      </rPr>
      <t xml:space="preserve"> Taiwan News. https://www.taiwannews.com.tw/news/6156939
Cheng, C.-M., &amp; Chang, C.-H. (2004). </t>
    </r>
    <r>
      <rPr>
        <i/>
        <sz val="11"/>
        <color theme="1"/>
        <rFont val="Aptos Narrow"/>
        <family val="2"/>
        <scheme val="minor"/>
      </rPr>
      <t>Specifications on building wind resistance design and wind environmental issues in Taiwan.</t>
    </r>
    <r>
      <rPr>
        <sz val="11"/>
        <color theme="1"/>
        <rFont val="Aptos Narrow"/>
        <family val="2"/>
        <scheme val="minor"/>
      </rPr>
      <t xml:space="preserve"> Wind Engineering Research Center, Tamkang University. https://www.wind.arch.t-kougei.ac.jp/APECWW/Report/2004/TWN.pdf
PVKnowHow. (n.d.). </t>
    </r>
    <r>
      <rPr>
        <i/>
        <sz val="11"/>
        <color theme="1"/>
        <rFont val="Aptos Narrow"/>
        <family val="2"/>
        <scheme val="minor"/>
      </rPr>
      <t>Taiwan Solar Panel Manufacturing Report: Market Analysis and Insights.</t>
    </r>
    <r>
      <rPr>
        <sz val="11"/>
        <color theme="1"/>
        <rFont val="Aptos Narrow"/>
        <family val="2"/>
        <scheme val="minor"/>
      </rPr>
      <t xml:space="preserve"> Retrieved November 11, 2025, from https://www.pvknowhow.com/solar-report/taiwan/</t>
    </r>
  </si>
  <si>
    <t>2.d Extreme weather events</t>
  </si>
  <si>
    <t>-</t>
  </si>
  <si>
    <r>
      <rPr>
        <sz val="11"/>
        <color theme="1"/>
        <rFont val="Aptos Narrow"/>
        <family val="2"/>
      </rPr>
      <t>•</t>
    </r>
    <r>
      <rPr>
        <sz val="10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>subject to high natural variability from fluctuating wind speeds; climate and weather-driven intermittency,operating probabiltiy: https://www.mdpi.com/1996-1073/13/24/6492
• wind resource quality: Taiwan's offshore wind farms are located in areas with strong mean wind speeds, which is considered above average globally
• the Taiwan Strait benefits from consistent monsoon winds, but the region is also prone to typhoons
• strong resources, but non-negligible variability and some technical reliability issues. Decent but not perfect reliability, mainly due to weather risks</t>
    </r>
  </si>
  <si>
    <r>
      <t>The</t>
    </r>
    <r>
      <rPr>
        <b/>
        <sz val="11"/>
        <color theme="1"/>
        <rFont val="Aptos Narrow"/>
        <family val="2"/>
        <scheme val="minor"/>
      </rPr>
      <t xml:space="preserve"> Fragile States Index</t>
    </r>
    <r>
      <rPr>
        <sz val="11"/>
        <color theme="1"/>
        <rFont val="Aptos Narrow"/>
        <family val="2"/>
        <scheme val="minor"/>
      </rPr>
      <t xml:space="preserve"> ranges from 0-120 (worst, most fragile). This score is then normalized.
Reference:
The Fund for Peace. (n.d.). Global Data – Fragile States Index. Retrieved October 26, 2025, from https://fragilestatesindex.org/global-data/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</si>
  <si>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Political Risk Index</t>
    </r>
    <r>
      <rPr>
        <sz val="11"/>
        <color theme="1"/>
        <rFont val="Aptos Narrow"/>
        <family val="2"/>
        <scheme val="minor"/>
      </rPr>
      <t xml:space="preserve"> ranges from 0-1 (least risk) and therefore needs no normalization.
Reference:
World Bank. (n.d.). Political Risk Services International Country Risk Guide (PRS) [Excel file]. https://www.worldbank.org/content/dam/sites/govindicators/doc/PRS.xlsx</t>
    </r>
  </si>
  <si>
    <r>
      <t>The</t>
    </r>
    <r>
      <rPr>
        <b/>
        <sz val="11"/>
        <color theme="1"/>
        <rFont val="Aptos Narrow"/>
        <family val="2"/>
        <scheme val="minor"/>
      </rPr>
      <t xml:space="preserve"> Political Stability and Absence of Violence/Terrorism</t>
    </r>
    <r>
      <rPr>
        <sz val="11"/>
        <color theme="1"/>
        <rFont val="Aptos Narrow"/>
        <family val="2"/>
        <scheme val="minor"/>
      </rPr>
      <t xml:space="preserve"> scoring ranges from -2.5 to 2-5. The score is therefore also normalized.
Reference:
Kaufmann, D., Kraay, A., &amp; Mastruzzi, M. (2010). The Worldwide Governance Indicators: Methodology and Analytical Issues (World Bank Policy Research Working Paper No. 5430). https://doi.org/10.1596/1813-9450-5434</t>
    </r>
  </si>
  <si>
    <t>Final Score</t>
  </si>
  <si>
    <t>Score for gamma</t>
  </si>
  <si>
    <t>Parameter value for gamma</t>
  </si>
  <si>
    <t>Score for delta</t>
  </si>
  <si>
    <t>Parameter value for delta</t>
  </si>
  <si>
    <t>Days of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</si>
</sst>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theme="1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.5"/>
      <color theme="1"/>
      <name val="Segoe UI"/>
      <family val="2"/>
    </font>
    <font>
      <i/>
      <sz val="10.5"/>
      <color theme="1"/>
      <name val="Segoe UI"/>
      <family val="2"/>
    </font>
    <font>
      <i/>
      <sz val="1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color rgb="FF222222"/>
      <name val="Aptos Narrow"/>
      <family val="2"/>
      <scheme val="minor"/>
    </font>
    <font>
      <i/>
      <sz val="11"/>
      <color rgb="FF22222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5" fillId="3" borderId="0" xfId="0" applyFont="1" applyFill="1"/>
    <xf numFmtId="164" fontId="0" fillId="0" borderId="0" xfId="0" applyNumberFormat="1"/>
    <xf numFmtId="0" fontId="0" fillId="4" borderId="0" xfId="0" applyFill="1"/>
    <xf numFmtId="0" fontId="2" fillId="4" borderId="0" xfId="0" applyFont="1" applyFill="1"/>
    <xf numFmtId="0" fontId="5" fillId="4" borderId="0" xfId="0" applyFont="1" applyFill="1"/>
    <xf numFmtId="0" fontId="0" fillId="5" borderId="0" xfId="0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4" fillId="2" borderId="0" xfId="1" applyFill="1" applyAlignment="1">
      <alignment wrapText="1"/>
    </xf>
    <xf numFmtId="0" fontId="4" fillId="5" borderId="0" xfId="1" applyFill="1" applyAlignment="1">
      <alignment wrapText="1"/>
    </xf>
    <xf numFmtId="0" fontId="4" fillId="7" borderId="0" xfId="1" applyFill="1" applyAlignment="1">
      <alignment wrapText="1"/>
    </xf>
    <xf numFmtId="0" fontId="6" fillId="0" borderId="0" xfId="0" applyFont="1"/>
    <xf numFmtId="0" fontId="5" fillId="9" borderId="1" xfId="0" applyFont="1" applyFill="1" applyBorder="1"/>
    <xf numFmtId="0" fontId="5" fillId="9" borderId="1" xfId="0" applyFont="1" applyFill="1" applyBorder="1" applyAlignment="1">
      <alignment wrapText="1"/>
    </xf>
    <xf numFmtId="0" fontId="0" fillId="10" borderId="0" xfId="0" applyFill="1"/>
    <xf numFmtId="0" fontId="1" fillId="10" borderId="0" xfId="0" applyFont="1" applyFill="1"/>
    <xf numFmtId="0" fontId="1" fillId="10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8" fillId="0" borderId="0" xfId="1" applyFont="1" applyAlignment="1">
      <alignment wrapText="1"/>
    </xf>
    <xf numFmtId="0" fontId="0" fillId="2" borderId="0" xfId="0" applyFill="1" applyAlignment="1">
      <alignment horizontal="center"/>
    </xf>
    <xf numFmtId="164" fontId="1" fillId="0" borderId="0" xfId="0" applyNumberFormat="1" applyFont="1"/>
    <xf numFmtId="0" fontId="14" fillId="0" borderId="0" xfId="0" applyFont="1" applyAlignment="1">
      <alignment wrapText="1"/>
    </xf>
    <xf numFmtId="2" fontId="0" fillId="10" borderId="0" xfId="0" applyNumberFormat="1" applyFill="1"/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6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3" xfId="0" applyFill="1" applyBorder="1"/>
    <xf numFmtId="0" fontId="1" fillId="10" borderId="4" xfId="0" applyFont="1" applyFill="1" applyBorder="1" applyAlignment="1">
      <alignment horizontal="right"/>
    </xf>
    <xf numFmtId="0" fontId="1" fillId="10" borderId="5" xfId="0" applyFont="1" applyFill="1" applyBorder="1"/>
    <xf numFmtId="0" fontId="0" fillId="10" borderId="6" xfId="0" applyFill="1" applyBorder="1"/>
    <xf numFmtId="2" fontId="0" fillId="10" borderId="0" xfId="0" applyNumberFormat="1" applyFill="1" applyBorder="1"/>
    <xf numFmtId="164" fontId="0" fillId="10" borderId="7" xfId="0" applyNumberFormat="1" applyFill="1" applyBorder="1"/>
    <xf numFmtId="0" fontId="0" fillId="10" borderId="8" xfId="0" applyFill="1" applyBorder="1"/>
    <xf numFmtId="164" fontId="0" fillId="10" borderId="9" xfId="0" applyNumberFormat="1" applyFill="1" applyBorder="1"/>
    <xf numFmtId="2" fontId="0" fillId="10" borderId="2" xfId="0" applyNumberFormat="1" applyFill="1" applyBorder="1"/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vertical="top" wrapText="1"/>
    </xf>
    <xf numFmtId="0" fontId="0" fillId="7" borderId="0" xfId="0" applyFill="1" applyAlignment="1">
      <alignment horizontal="left" vertical="top" wrapText="1"/>
    </xf>
    <xf numFmtId="0" fontId="1" fillId="10" borderId="3" xfId="0" applyFont="1" applyFill="1" applyBorder="1"/>
    <xf numFmtId="0" fontId="1" fillId="10" borderId="5" xfId="0" applyFont="1" applyFill="1" applyBorder="1" applyAlignment="1">
      <alignment horizontal="right"/>
    </xf>
    <xf numFmtId="2" fontId="0" fillId="10" borderId="7" xfId="0" applyNumberFormat="1" applyFill="1" applyBorder="1"/>
    <xf numFmtId="2" fontId="0" fillId="10" borderId="9" xfId="0" applyNumberFormat="1" applyFill="1" applyBorder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45">
    <dxf>
      <numFmt numFmtId="164" formatCode="0.0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numFmt numFmtId="164" formatCode="0.0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/>
      </font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11758</xdr:rowOff>
    </xdr:from>
    <xdr:to>
      <xdr:col>4</xdr:col>
      <xdr:colOff>485775</xdr:colOff>
      <xdr:row>22</xdr:row>
      <xdr:rowOff>8584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D168E6-EF96-1A3B-292E-54B980395460}"/>
            </a:ext>
          </a:extLst>
        </xdr:cNvPr>
        <xdr:cNvSpPr txBox="1"/>
      </xdr:nvSpPr>
      <xdr:spPr>
        <a:xfrm>
          <a:off x="219075" y="2459683"/>
          <a:ext cx="5286375" cy="1987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/>
            <a:t>Description</a:t>
          </a:r>
        </a:p>
        <a:p>
          <a:r>
            <a:rPr lang="de-DE" sz="1100"/>
            <a:t>This</a:t>
          </a:r>
          <a:r>
            <a:rPr lang="de-DE" sz="1100" baseline="0"/>
            <a:t> sheet presents the overview of the indicator scores that result in the final parameter values for gamma and delta. Details for each can be found in the according sheets.</a:t>
          </a:r>
          <a:endParaRPr lang="de-DE" sz="1100"/>
        </a:p>
        <a:p>
          <a:endParaRPr lang="de-DE" sz="1100"/>
        </a:p>
        <a:p>
          <a:r>
            <a:rPr lang="de-DE" sz="1100"/>
            <a:t>Linear mapping to translate scores 1 and 2 to the gamma and delta parameters:</a:t>
          </a:r>
        </a:p>
        <a:p>
          <a:endParaRPr lang="de-DE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γ</a:t>
          </a:r>
          <a:r>
            <a:rPr lang="de-D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-2+3*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score</a:t>
          </a:r>
          <a:endParaRPr lang="de-DE">
            <a:effectLst/>
          </a:endParaRPr>
        </a:p>
        <a:p>
          <a:r>
            <a:rPr lang="de-DE" sz="1100">
              <a:latin typeface="Aptos Narrow" panose="020B0004020202020204" pitchFamily="34" charset="0"/>
            </a:rPr>
            <a:t>δ=2-1.5 * score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603914</xdr:colOff>
      <xdr:row>5</xdr:row>
      <xdr:rowOff>31401</xdr:rowOff>
    </xdr:from>
    <xdr:to>
      <xdr:col>12</xdr:col>
      <xdr:colOff>342237</xdr:colOff>
      <xdr:row>9</xdr:row>
      <xdr:rowOff>119958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0E5F5B-B9EA-49A0-8E47-D9F3B49F6EF3}"/>
            </a:ext>
          </a:extLst>
        </xdr:cNvPr>
        <xdr:cNvSpPr txBox="1"/>
      </xdr:nvSpPr>
      <xdr:spPr>
        <a:xfrm>
          <a:off x="15582238" y="1182775"/>
          <a:ext cx="1559587" cy="19307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/>
            <a:t>Methodology of Capacity Factor Scoring</a:t>
          </a:r>
        </a:p>
        <a:p>
          <a:endParaRPr lang="de-DE" sz="1100" b="1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CF≥0.70 → 1.0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0.50 ≤ CF &lt;0.7 → 0.8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0.30 ≤ CF &lt; 0.50 →0.6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0.10 ≤ CF &lt; 0.30 → 0.3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CF &lt; 0.10 → 0.0</a:t>
          </a:r>
          <a:endParaRPr lang="de-DE" sz="1100">
            <a:latin typeface="Aptos Narrow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243416</xdr:colOff>
      <xdr:row>3</xdr:row>
      <xdr:rowOff>63499</xdr:rowOff>
    </xdr:from>
    <xdr:to>
      <xdr:col>13</xdr:col>
      <xdr:colOff>264583</xdr:colOff>
      <xdr:row>4</xdr:row>
      <xdr:rowOff>1277408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D0A2E77-1DD6-6050-DC53-3299DBA10585}"/>
            </a:ext>
          </a:extLst>
        </xdr:cNvPr>
        <xdr:cNvSpPr txBox="1"/>
      </xdr:nvSpPr>
      <xdr:spPr>
        <a:xfrm>
          <a:off x="8456083" y="687916"/>
          <a:ext cx="3090333" cy="139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The scoring methodology follows: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Jewell, J. (2011).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IEA model of short-term energy security (MOSES): Primary energy sources and secondary fuels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(IEA Working Paper). International Energy Agency.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https://iea.blob.core.windows.net/assets/e707e87e-61c0-4e22-8de1-fcfd50a79fa7/moses_paper.pdf</a:t>
          </a:r>
          <a:endParaRPr lang="de-DE">
            <a:effectLst/>
          </a:endParaRPr>
        </a:p>
        <a:p>
          <a:endParaRPr lang="de-DE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571502</xdr:colOff>
      <xdr:row>7</xdr:row>
      <xdr:rowOff>164522</xdr:rowOff>
    </xdr:from>
    <xdr:to>
      <xdr:col>12</xdr:col>
      <xdr:colOff>427471</xdr:colOff>
      <xdr:row>18</xdr:row>
      <xdr:rowOff>112568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EFDC6C-880F-4486-FC88-C8A94FA36262}"/>
            </a:ext>
          </a:extLst>
        </xdr:cNvPr>
        <xdr:cNvSpPr txBox="1"/>
      </xdr:nvSpPr>
      <xdr:spPr>
        <a:xfrm>
          <a:off x="4208320" y="1523999"/>
          <a:ext cx="4964833" cy="19482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The</a:t>
          </a:r>
          <a:r>
            <a:rPr lang="de-DE" sz="1100" baseline="0"/>
            <a:t> Herfindahl-Hirschmann index (HHI) index is used here, which ranges from 0.1 (high diversity) to 1.0 (no diversity).</a:t>
          </a:r>
          <a:endParaRPr lang="de-DE" sz="1100"/>
        </a:p>
        <a:p>
          <a:endParaRPr lang="de-DE" sz="1100"/>
        </a:p>
        <a:p>
          <a:r>
            <a:rPr lang="de-DE" sz="1100" b="1"/>
            <a:t>Data reference:</a:t>
          </a:r>
        </a:p>
        <a:p>
          <a:r>
            <a:rPr lang="de-D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Bureau of Energy, Ministry of Economic Affairs. (2024). Energy Statistics Handbook: Chapter 3-15 — Sources of imported coal (Dataset). Energy Statistics Information System of Taiwan (ESIST). https://www.esist.org.tw/attachments/handbook/2024/docs/3-15.%E7%85%A4%E7%82%AD%E9%80%B2%E5%8F%A3%E4%BE%86%E6%BA%90(113).xlsx</a:t>
          </a:r>
          <a:r>
            <a:rPr lang="de-DE">
              <a:effectLst/>
            </a:rPr>
            <a:t> </a:t>
          </a:r>
          <a:endParaRPr lang="de-D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</xdr:colOff>
      <xdr:row>15</xdr:row>
      <xdr:rowOff>20834</xdr:rowOff>
    </xdr:from>
    <xdr:to>
      <xdr:col>3</xdr:col>
      <xdr:colOff>1817088</xdr:colOff>
      <xdr:row>23</xdr:row>
      <xdr:rowOff>95609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22D92-FB96-45CE-0CFC-98B4E515A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525" y="4850009"/>
          <a:ext cx="4182463" cy="152257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12</xdr:col>
      <xdr:colOff>45508</xdr:colOff>
      <xdr:row>5</xdr:row>
      <xdr:rowOff>285750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8675B8-644B-4373-9D47-BDD43982F050}"/>
            </a:ext>
          </a:extLst>
        </xdr:cNvPr>
        <xdr:cNvSpPr txBox="1"/>
      </xdr:nvSpPr>
      <xdr:spPr>
        <a:xfrm>
          <a:off x="7239000" y="628650"/>
          <a:ext cx="3093508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The scoring methodology follows: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Jewell, J. (2011). 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IEA model of short-term energy security (MOSES): Primary energy sources and secondary fuels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(IEA Working Paper). International Energy Agency.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https://iea.blob.core.windows.net/assets/e707e87e-61c0-4e22-8de1-fcfd50a79fa7/moses_paper.pdf</a:t>
          </a:r>
          <a:endParaRPr lang="de-DE">
            <a:effectLst/>
          </a:endParaRPr>
        </a:p>
        <a:p>
          <a:endParaRPr lang="de-DE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FCACAC-61C8-4A60-A2CA-92F188E95D10}" name="Table8" displayName="Table8" ref="B5:M9" totalsRowShown="0" headerRowDxfId="3">
  <autoFilter ref="B5:M9" xr:uid="{6FFCACAC-61C8-4A60-A2CA-92F188E95D10}"/>
  <tableColumns count="12">
    <tableColumn id="1" xr3:uid="{3946960A-A848-49F6-B33F-12A0E0ED9DB5}" name="Energy source"/>
    <tableColumn id="2" xr3:uid="{A24FC1AF-A949-42CC-8E08-BF537DC3A232}" name="1.a Import dependence" dataDxfId="44"/>
    <tableColumn id="3" xr3:uid="{464A5116-D4A8-4481-9735-3086AED5DC1E}" name="1.b Resource variability" dataDxfId="43"/>
    <tableColumn id="4" xr3:uid="{C39C890B-9611-49F1-9753-17E8FE3F2D06}" name="1.c R/C ratio"/>
    <tableColumn id="5" xr3:uid="{3D8B8F0E-309E-4B51-8038-5F9868F3F512}" name="Score for gamma" dataDxfId="42">
      <calculatedColumnFormula>(Table8[[#This Row],[1.a Import dependence]]+Table8[[#This Row],[1.b Resource variability]]+Table8[[#This Row],[1.c R/C ratio]])/3</calculatedColumnFormula>
    </tableColumn>
    <tableColumn id="10" xr3:uid="{588D521C-4C4D-41C8-89B8-7A9F9F5EBEF1}" name="Parameter value for gamma" dataDxfId="41">
      <calculatedColumnFormula>-2+4*Table8[[#This Row],[Score for gamma]]</calculatedColumnFormula>
    </tableColumn>
    <tableColumn id="6" xr3:uid="{97B89D40-101B-44A0-81B6-1989946C9D5B}" name="2.a Geographic concentration" dataDxfId="40"/>
    <tableColumn id="7" xr3:uid="{1089C64A-98C0-43CC-BACA-855565754D42}" name="2.b Political stability" dataDxfId="39"/>
    <tableColumn id="8" xr3:uid="{E3BA67C5-9EE7-4C9B-A34B-E23D2A507A28}" name="2.c Entry points"/>
    <tableColumn id="12" xr3:uid="{DE0DC773-830D-464F-8794-66F0D8B0D21E}" name="2.d Extreme weather events"/>
    <tableColumn id="9" xr3:uid="{DE9CFBA5-BDD9-4EF8-8789-21ECF5F6F2AA}" name="Score for delta" dataDxfId="38">
      <calculatedColumnFormula>(Table8[[#This Row],[2.a Geographic concentration]]+Table8[[#This Row],[2.b Political stability]]+Table8[[#This Row],[2.c Entry points]])/3</calculatedColumnFormula>
    </tableColumn>
    <tableColumn id="11" xr3:uid="{E5BC6A9B-49B7-487A-B73A-C4B8F2BA088D}" name="Parameter value for delta" dataDxfId="37">
      <calculatedColumnFormula>2-1.5*Table8[[#This Row],[Score for delta]]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4A7974-EB23-4E8D-A2D4-39BC8DC4DFFA}" name="Table4" displayName="Table4" ref="B4:E9" totalsRowShown="0">
  <autoFilter ref="B4:E9" xr:uid="{8D4A7974-EB23-4E8D-A2D4-39BC8DC4DFFA}"/>
  <tableColumns count="4">
    <tableColumn id="1" xr3:uid="{4B52F8DC-995F-44E0-B6D8-9C469D0EBA09}" name="Energy source"/>
    <tableColumn id="2" xr3:uid="{87C66E2D-7A80-48D6-9C36-32BAC0642E0D}" name="Import dependence"/>
    <tableColumn id="5" xr3:uid="{F92892AE-805D-4B1C-AC05-4488E9F728D5}" name="Score" dataDxfId="36">
      <calculatedColumnFormula>1-Table4[[#This Row],[Import dependence]]</calculatedColumnFormula>
    </tableColumn>
    <tableColumn id="3" xr3:uid="{0B7C6EDA-6089-416F-9A9C-73422C2B7FAE}" name="Referenc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AB677CB-8A7D-4E10-B07F-15BDF8E23B7A}" name="Table212" displayName="Table212" ref="B6:I11" totalsRowShown="0" headerRowDxfId="35" headerRowBorderDxfId="34" tableBorderDxfId="33">
  <autoFilter ref="B6:I11" xr:uid="{9220ACFA-B3E4-4300-BCF6-357D8F723869}"/>
  <tableColumns count="8">
    <tableColumn id="1" xr3:uid="{ABDF8035-36EB-438C-BC43-FA8ED9CE99A1}" name="Energy source"/>
    <tableColumn id="2" xr3:uid="{E537755C-EFE4-4D3D-A55B-472774D061DC}" name="1. Main source of variability"/>
    <tableColumn id="3" xr3:uid="{56C7303D-7F82-4777-935F-37B92AE40F7C}" name="Score 1." dataDxfId="32"/>
    <tableColumn id="4" xr3:uid="{C35B3B88-27B6-4784-BE6A-914EAAC2A178}" name="2. Storability" dataDxfId="31"/>
    <tableColumn id="5" xr3:uid="{DD1A4327-CC67-4C0F-A6E3-4DE503FFDB46}" name="Score 2." dataDxfId="2"/>
    <tableColumn id="8" xr3:uid="{BD98F496-F879-40E6-A1CC-814CEDCBAAE8}" name="3. Capacity factor" dataDxfId="0"/>
    <tableColumn id="7" xr3:uid="{D3CEB816-C59F-42E9-BD6B-05C8C33FA36B}" name="Score 3." dataDxfId="1"/>
    <tableColumn id="6" xr3:uid="{4A8E26E7-887C-4034-A1E0-71D036D2367C}" name="Weighted score" dataDxfId="30">
      <calculatedColumnFormula>Table212[[#This Row],[Score 1.]]*$C$4+Table212[[#This Row],[Score 2.]]*$D$4+Table212[[#This Row],[Score 3.]]*$E$4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D04A78-15E6-4913-882A-7F5555DED65B}" name="Table7" displayName="Table7" ref="B4:H9" totalsRowShown="0" dataDxfId="29">
  <autoFilter ref="B4:H9" xr:uid="{D4D04A78-15E6-4913-882A-7F5555DED65B}"/>
  <tableColumns count="7">
    <tableColumn id="1" xr3:uid="{896989F6-C73E-4FFB-8F96-4EE3FD442B5A}" name="Energy source" dataDxfId="28"/>
    <tableColumn id="2" xr3:uid="{E2BB928E-A278-46F2-BEF1-FDD7783BC588}" name="Days of consumption" dataDxfId="27"/>
    <tableColumn id="7" xr3:uid="{A471B726-AB0D-4F83-BE36-42818F89279B}" name="Reference" dataDxfId="26"/>
    <tableColumn id="3" xr3:uid="{59CB879F-DDE4-4A38-8C94-D38BB3A5E639}" name="IEA rating" dataDxfId="25"/>
    <tableColumn id="6" xr3:uid="{22E668A6-CC1D-45EE-8ACF-FE486170BA4B}" name="numeric" dataDxfId="24"/>
    <tableColumn id="4" xr3:uid="{DC58ED8B-2972-4AA1-8114-D5F76ED85831}" name="Benchmark?" dataDxfId="23"/>
    <tableColumn id="5" xr3:uid="{56306E42-B91A-4C81-953B-4E7D198C0D6F}" name="Score" dataDxfId="22">
      <calculatedColumnFormula>(Table7[[#This Row],[numeric]]-1)/(3-1)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734999-2134-4B1F-A3E6-BE0B4ED81753}" name="Table54" displayName="Table54" ref="B4:E23" totalsRowShown="0">
  <autoFilter ref="B4:E23" xr:uid="{2DEBCF63-00C6-4C1D-B3C0-16504A4279F0}"/>
  <tableColumns count="4">
    <tableColumn id="1" xr3:uid="{10F5AEFC-1EC3-4DD6-84A8-288F6E83950F}" name="Energy source"/>
    <tableColumn id="2" xr3:uid="{69A23446-54FA-4BCD-8788-AAE7C647B1A5}" name="Country"/>
    <tableColumn id="6" xr3:uid="{BD952EB1-A26B-4CFD-9421-037DBF04E50A}" name="Share (%)" dataDxfId="14"/>
    <tableColumn id="5" xr3:uid="{95FF6595-EDBA-41C3-B5DD-68AA806E4EE8}" name="Share^2" dataDxfId="13">
      <calculatedColumnFormula>Table54[[#This Row],[Share (%)]]^2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5158BB-CA84-486D-8007-25E42CDF8A05}" name="Table6" displayName="Table6" ref="B5:K21" totalsRowShown="0">
  <autoFilter ref="B5:K21" xr:uid="{0E5158BB-CA84-486D-8007-25E42CDF8A05}"/>
  <tableColumns count="10">
    <tableColumn id="1" xr3:uid="{A682FFDD-1580-43D3-8A5C-22841FCAA102}" name="Energy source" dataDxfId="12"/>
    <tableColumn id="2" xr3:uid="{CE8E4363-32E8-4243-832D-4C2813985014}" name="Country" dataDxfId="11"/>
    <tableColumn id="3" xr3:uid="{50F928F5-D013-426B-A9CF-BBC656C471C9}" name="Share (%)" dataDxfId="10"/>
    <tableColumn id="4" xr3:uid="{29BDD49D-7C89-4F29-87E4-136340EA31A0}" name="Fragile States Index 2024"/>
    <tableColumn id="5" xr3:uid="{36C97941-6E0C-4396-9F24-4BF9BF5826BC}" name="Reserse" dataDxfId="9">
      <calculatedColumnFormula>$F$26-Table6[[#This Row],[Fragile States Index 2024]]</calculatedColumnFormula>
    </tableColumn>
    <tableColumn id="6" xr3:uid="{495ECBE7-0B01-4F52-B8AE-FEC8D604F9BD}" name="Normal" dataDxfId="8">
      <calculatedColumnFormula>(Table6[[#This Row],[Reserse]]-0)/(120-0)</calculatedColumnFormula>
    </tableColumn>
    <tableColumn id="7" xr3:uid="{916FB072-09F6-4EC7-AC14-94868C4921F7}" name="Political Risk Index 2022" dataDxfId="7"/>
    <tableColumn id="8" xr3:uid="{41AC5075-87CC-4914-9DE1-1F9FAAB1858F}" name="Political Stability and Absence of Violence/Terrorism: Estimate 2023" dataDxfId="6"/>
    <tableColumn id="9" xr3:uid="{093A1766-76A7-40E2-B220-796A73327212}" name="Normalized" dataDxfId="5">
      <calculatedColumnFormula>(Table6[[#This Row],[Political Stability and Absence of Violence/Terrorism: Estimate 2023]]-(-2.5))/(2.5-(-2.5))</calculatedColumnFormula>
    </tableColumn>
    <tableColumn id="10" xr3:uid="{5CD34786-5D87-47B6-953B-3F319CBF039C}" name="Score" dataDxfId="4">
      <calculatedColumnFormula>(Table6[[#This Row],[Normal]]+Table6[[#This Row],[Political Risk Index 2022]]+Table6[[#This Row],[Normalized]])/3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1446E-D9F6-4B6C-8E4E-10EA41F35E83}" name="Table1" displayName="Table1" ref="B4:F6" totalsRowShown="0">
  <autoFilter ref="B4:F6" xr:uid="{5681446E-D9F6-4B6C-8E4E-10EA41F35E83}"/>
  <tableColumns count="5">
    <tableColumn id="1" xr3:uid="{78CD1CDD-7EED-440C-9BBE-493965DB170E}" name="Energy source"/>
    <tableColumn id="2" xr3:uid="{314EC62E-493B-4877-8DDC-CF68D0CF73E6}" name="No. Of entry points"/>
    <tableColumn id="6" xr3:uid="{F918D271-784F-4F4A-BC33-A84960B6E0FB}" name="Reference" dataDxfId="21"/>
    <tableColumn id="3" xr3:uid="{9092C1DC-C5B7-4FDC-A568-5E493066951C}" name="IEA score"/>
    <tableColumn id="7" xr3:uid="{C190F3AE-963A-4716-B924-E8FC4EDE00AF}" name="Score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9854F4-DAAE-43E2-8AA7-05D855FAE250}" name="Table9" displayName="Table9" ref="B4:E6" totalsRowShown="0" headerRowDxfId="20" dataDxfId="19">
  <autoFilter ref="B4:E6" xr:uid="{DB9854F4-DAAE-43E2-8AA7-05D855FAE250}"/>
  <tableColumns count="4">
    <tableColumn id="1" xr3:uid="{D21436CB-E527-47A8-9993-219A93C19C25}" name="Energy source" dataDxfId="18"/>
    <tableColumn id="2" xr3:uid="{2DE44A07-00BD-4749-A3B3-111CDBE3CAB1}" name="Metric" dataDxfId="17"/>
    <tableColumn id="4" xr3:uid="{239D9090-B07E-48F2-8F23-A0211BFDBB95}" name="Score" dataDxfId="16"/>
    <tableColumn id="5" xr3:uid="{0452AC0B-259C-43D3-86FB-ABCD7925D241}" name="Source" dataDxfId="1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hyperlink" Target="https://www.storm.mg/article/447404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fragilestatesindex.org/global-data/" TargetMode="External"/><Relationship Id="rId2" Type="http://schemas.openxmlformats.org/officeDocument/2006/relationships/hyperlink" Target="https://www.worldbank.org/content/dam/sites/govindicators/doc/PRS.xlsx" TargetMode="External"/><Relationship Id="rId1" Type="http://schemas.openxmlformats.org/officeDocument/2006/relationships/hyperlink" Target="https://data.worldbank.org/indicator/PV.EST?most_recent_value_desc=true&amp;type=shaded" TargetMode="Externa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2A66-E715-422B-9803-043E3D1A13BA}">
  <dimension ref="B2:M9"/>
  <sheetViews>
    <sheetView showGridLines="0" zoomScaleNormal="100" workbookViewId="0">
      <selection activeCell="C26" sqref="C26"/>
    </sheetView>
  </sheetViews>
  <sheetFormatPr defaultRowHeight="14.5" x14ac:dyDescent="0.35"/>
  <cols>
    <col min="1" max="1" width="3" customWidth="1"/>
    <col min="2" max="2" width="21.6328125" bestFit="1" customWidth="1"/>
    <col min="3" max="3" width="23.453125" bestFit="1" customWidth="1"/>
    <col min="4" max="4" width="23.7265625" bestFit="1" customWidth="1"/>
    <col min="5" max="5" width="13.7265625" bestFit="1" customWidth="1"/>
    <col min="6" max="6" width="11.54296875" customWidth="1"/>
    <col min="7" max="7" width="15.453125" customWidth="1"/>
    <col min="8" max="8" width="28" bestFit="1" customWidth="1"/>
    <col min="9" max="9" width="20.36328125" bestFit="1" customWidth="1"/>
    <col min="10" max="10" width="16" bestFit="1" customWidth="1"/>
    <col min="11" max="11" width="16" customWidth="1"/>
    <col min="12" max="12" width="8.90625" customWidth="1"/>
    <col min="13" max="13" width="15.90625" customWidth="1"/>
  </cols>
  <sheetData>
    <row r="2" spans="2:13" ht="21" x14ac:dyDescent="0.5">
      <c r="B2" s="18" t="s">
        <v>81</v>
      </c>
    </row>
    <row r="4" spans="2:13" x14ac:dyDescent="0.35">
      <c r="C4" s="36" t="s">
        <v>86</v>
      </c>
      <c r="D4" s="36"/>
      <c r="E4" s="36"/>
      <c r="F4" s="36"/>
      <c r="G4" s="26"/>
      <c r="H4" s="37" t="s">
        <v>87</v>
      </c>
      <c r="I4" s="37"/>
      <c r="J4" s="37"/>
      <c r="K4" s="37"/>
      <c r="L4" s="37"/>
      <c r="M4" s="37"/>
    </row>
    <row r="5" spans="2:13" s="1" customFormat="1" ht="43.5" x14ac:dyDescent="0.35">
      <c r="B5" s="1" t="s">
        <v>57</v>
      </c>
      <c r="C5" s="54" t="s">
        <v>82</v>
      </c>
      <c r="D5" s="54" t="s">
        <v>62</v>
      </c>
      <c r="E5" s="54" t="s">
        <v>83</v>
      </c>
      <c r="F5" s="54" t="s">
        <v>106</v>
      </c>
      <c r="G5" s="54" t="s">
        <v>107</v>
      </c>
      <c r="H5" s="55" t="s">
        <v>84</v>
      </c>
      <c r="I5" s="55" t="s">
        <v>85</v>
      </c>
      <c r="J5" s="55" t="s">
        <v>56</v>
      </c>
      <c r="K5" s="55" t="s">
        <v>99</v>
      </c>
      <c r="L5" s="55" t="s">
        <v>108</v>
      </c>
      <c r="M5" s="55" t="s">
        <v>109</v>
      </c>
    </row>
    <row r="6" spans="2:13" x14ac:dyDescent="0.35">
      <c r="B6" t="s">
        <v>0</v>
      </c>
      <c r="C6" s="7">
        <f>'1.a'!D5</f>
        <v>0</v>
      </c>
      <c r="D6" s="7">
        <f>'1.b'!I7</f>
        <v>0.84999999999999987</v>
      </c>
      <c r="E6">
        <v>0.5</v>
      </c>
      <c r="F6" s="7">
        <f>(Table8[[#This Row],[1.a Import dependence]]+Table8[[#This Row],[1.b Resource variability]]+Table8[[#This Row],[1.c R/C ratio]])/3</f>
        <v>0.44999999999999996</v>
      </c>
      <c r="G6" s="27">
        <f>-2+4*Table8[[#This Row],[Score for gamma]]</f>
        <v>-0.20000000000000018</v>
      </c>
      <c r="H6" s="7">
        <v>0.66458214000000004</v>
      </c>
      <c r="I6" s="7">
        <v>0.58695782304283173</v>
      </c>
      <c r="J6">
        <v>1</v>
      </c>
      <c r="K6" s="34" t="s">
        <v>100</v>
      </c>
      <c r="L6" s="7">
        <f>(Table8[[#This Row],[2.a Geographic concentration]]+Table8[[#This Row],[2.b Political stability]]+Table8[[#This Row],[2.c Entry points]])/3</f>
        <v>0.75051332101427726</v>
      </c>
      <c r="M6" s="27">
        <f>2-1.5*Table8[[#This Row],[Score for delta]]</f>
        <v>0.87423001847858406</v>
      </c>
    </row>
    <row r="7" spans="2:13" x14ac:dyDescent="0.35">
      <c r="B7" t="s">
        <v>3</v>
      </c>
      <c r="C7" s="7">
        <f>'1.a'!D7</f>
        <v>2.1999999999999797E-3</v>
      </c>
      <c r="D7" s="7">
        <f>'1.b'!I9</f>
        <v>0.6</v>
      </c>
      <c r="E7">
        <v>0.2</v>
      </c>
      <c r="F7" s="7">
        <f>(Table8[[#This Row],[1.a Import dependence]]+Table8[[#This Row],[1.b Resource variability]]+Table8[[#This Row],[1.c R/C ratio]])/3</f>
        <v>0.26740000000000003</v>
      </c>
      <c r="G7" s="27">
        <f>-2+4*Table8[[#This Row],[Score for gamma]]</f>
        <v>-0.93039999999999989</v>
      </c>
      <c r="H7" s="7">
        <v>0.76939650000000004</v>
      </c>
      <c r="I7" s="7">
        <v>0.54355594667755525</v>
      </c>
      <c r="J7">
        <v>0.5</v>
      </c>
      <c r="K7" s="34" t="s">
        <v>100</v>
      </c>
      <c r="L7" s="7">
        <f>(Table8[[#This Row],[2.a Geographic concentration]]+Table8[[#This Row],[2.b Political stability]]+Table8[[#This Row],[2.c Entry points]])/3</f>
        <v>0.6043174822258518</v>
      </c>
      <c r="M7" s="27">
        <f>2-1.5*Table8[[#This Row],[Score for delta]]</f>
        <v>1.0935237766612222</v>
      </c>
    </row>
    <row r="8" spans="2:13" x14ac:dyDescent="0.35">
      <c r="B8" t="s">
        <v>5</v>
      </c>
      <c r="C8" s="7">
        <f>'1.a'!D8</f>
        <v>1</v>
      </c>
      <c r="D8" s="30">
        <f>'1.b'!I10</f>
        <v>0.43333333333333329</v>
      </c>
      <c r="E8">
        <v>0.1</v>
      </c>
      <c r="F8" s="7">
        <f>(Table8[[#This Row],[1.a Import dependence]]+Table8[[#This Row],[1.b Resource variability]]+Table8[[#This Row],[1.c R/C ratio]])/3</f>
        <v>0.51111111111111118</v>
      </c>
      <c r="G8" s="27">
        <f>-2+4*Table8[[#This Row],[Score for gamma]]</f>
        <v>4.4444444444444731E-2</v>
      </c>
      <c r="H8" s="33" t="s">
        <v>100</v>
      </c>
      <c r="I8" s="33" t="s">
        <v>100</v>
      </c>
      <c r="J8" s="34" t="s">
        <v>100</v>
      </c>
      <c r="K8">
        <v>0.68720000000000003</v>
      </c>
      <c r="L8">
        <v>0.68720000000000003</v>
      </c>
      <c r="M8" s="27">
        <f>2-1.5*Table8[[#This Row],[Score for delta]]</f>
        <v>0.96919999999999984</v>
      </c>
    </row>
    <row r="9" spans="2:13" x14ac:dyDescent="0.35">
      <c r="B9" t="s">
        <v>90</v>
      </c>
      <c r="C9" s="7">
        <f>'1.a'!D9</f>
        <v>1</v>
      </c>
      <c r="D9" s="7">
        <f>'1.b'!I11</f>
        <v>0.25</v>
      </c>
      <c r="E9">
        <v>0.1</v>
      </c>
      <c r="F9" s="7">
        <f>(Table8[[#This Row],[1.a Import dependence]]+Table8[[#This Row],[1.b Resource variability]]+Table8[[#This Row],[1.c R/C ratio]])/3</f>
        <v>0.45</v>
      </c>
      <c r="G9" s="27">
        <f>-2+4*Table8[[#This Row],[Score for gamma]]</f>
        <v>-0.19999999999999996</v>
      </c>
      <c r="H9" s="33" t="s">
        <v>100</v>
      </c>
      <c r="I9" s="33" t="s">
        <v>100</v>
      </c>
      <c r="J9" s="34" t="s">
        <v>100</v>
      </c>
      <c r="K9">
        <v>0.4</v>
      </c>
      <c r="L9">
        <v>0.4</v>
      </c>
      <c r="M9" s="27">
        <f>2-1.5*Table8[[#This Row],[Score for delta]]</f>
        <v>1.4</v>
      </c>
    </row>
  </sheetData>
  <mergeCells count="2">
    <mergeCell ref="C4:F4"/>
    <mergeCell ref="H4:M4"/>
  </mergeCells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D8A9-E62B-49C2-B698-54A607DB37D7}">
  <dimension ref="B2:E9"/>
  <sheetViews>
    <sheetView showGridLines="0" topLeftCell="A2" zoomScaleNormal="100" workbookViewId="0">
      <selection activeCell="E19" sqref="E19"/>
    </sheetView>
  </sheetViews>
  <sheetFormatPr defaultRowHeight="14.5" x14ac:dyDescent="0.35"/>
  <cols>
    <col min="1" max="1" width="4.36328125" customWidth="1"/>
    <col min="2" max="2" width="17.81640625" customWidth="1"/>
    <col min="3" max="3" width="22.81640625" bestFit="1" customWidth="1"/>
    <col min="4" max="4" width="22.81640625" customWidth="1"/>
    <col min="5" max="5" width="62.36328125" customWidth="1"/>
  </cols>
  <sheetData>
    <row r="2" spans="2:5" ht="21" x14ac:dyDescent="0.5">
      <c r="B2" s="18" t="s">
        <v>50</v>
      </c>
    </row>
    <row r="4" spans="2:5" x14ac:dyDescent="0.35">
      <c r="B4" t="s">
        <v>57</v>
      </c>
      <c r="C4" t="s">
        <v>2</v>
      </c>
      <c r="D4" t="s">
        <v>49</v>
      </c>
      <c r="E4" t="s">
        <v>61</v>
      </c>
    </row>
    <row r="5" spans="2:5" ht="102" x14ac:dyDescent="0.5">
      <c r="B5" t="s">
        <v>0</v>
      </c>
      <c r="C5">
        <v>1</v>
      </c>
      <c r="D5">
        <f>1-Table4[[#This Row],[Import dependence]]</f>
        <v>0</v>
      </c>
      <c r="E5" s="24" t="s">
        <v>74</v>
      </c>
    </row>
    <row r="6" spans="2:5" ht="72.5" x14ac:dyDescent="0.35">
      <c r="B6" t="s">
        <v>1</v>
      </c>
      <c r="C6">
        <v>0.99019999999999997</v>
      </c>
      <c r="D6">
        <f>1-Table4[[#This Row],[Import dependence]]</f>
        <v>9.8000000000000309E-3</v>
      </c>
      <c r="E6" s="1" t="s">
        <v>75</v>
      </c>
    </row>
    <row r="7" spans="2:5" ht="72.5" x14ac:dyDescent="0.35">
      <c r="B7" t="s">
        <v>3</v>
      </c>
      <c r="C7">
        <v>0.99780000000000002</v>
      </c>
      <c r="D7">
        <f>1-Table4[[#This Row],[Import dependence]]</f>
        <v>2.1999999999999797E-3</v>
      </c>
      <c r="E7" s="1" t="s">
        <v>75</v>
      </c>
    </row>
    <row r="8" spans="2:5" x14ac:dyDescent="0.35">
      <c r="B8" t="s">
        <v>5</v>
      </c>
      <c r="C8">
        <v>0</v>
      </c>
      <c r="D8">
        <f>1-Table4[[#This Row],[Import dependence]]</f>
        <v>1</v>
      </c>
    </row>
    <row r="9" spans="2:5" x14ac:dyDescent="0.35">
      <c r="B9" t="s">
        <v>90</v>
      </c>
      <c r="C9">
        <v>0</v>
      </c>
      <c r="D9">
        <f>1-Table4[[#This Row],[Import dependence]]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9816-5606-4E74-B08B-2ABC53187710}">
  <dimension ref="B2:I11"/>
  <sheetViews>
    <sheetView showGridLines="0" zoomScaleNormal="100" workbookViewId="0">
      <selection activeCell="L10" sqref="L10"/>
    </sheetView>
  </sheetViews>
  <sheetFormatPr defaultRowHeight="14.5" x14ac:dyDescent="0.35"/>
  <cols>
    <col min="1" max="1" width="5.54296875" customWidth="1"/>
    <col min="2" max="2" width="29.1796875" bestFit="1" customWidth="1"/>
    <col min="3" max="3" width="42.54296875" bestFit="1" customWidth="1"/>
    <col min="4" max="4" width="20.1796875" style="1" customWidth="1"/>
    <col min="5" max="5" width="20.36328125" style="1" customWidth="1"/>
    <col min="6" max="8" width="21" style="1" customWidth="1"/>
    <col min="9" max="9" width="33.54296875" style="31" customWidth="1"/>
  </cols>
  <sheetData>
    <row r="2" spans="2:9" ht="21" x14ac:dyDescent="0.5">
      <c r="B2" s="18" t="s">
        <v>62</v>
      </c>
    </row>
    <row r="3" spans="2:9" hidden="1" x14ac:dyDescent="0.35">
      <c r="B3" s="21"/>
      <c r="C3" s="22">
        <v>1</v>
      </c>
      <c r="D3" s="23">
        <v>2</v>
      </c>
      <c r="E3" s="23">
        <v>3</v>
      </c>
    </row>
    <row r="4" spans="2:9" hidden="1" x14ac:dyDescent="0.35">
      <c r="B4" s="22" t="s">
        <v>4</v>
      </c>
      <c r="C4" s="29">
        <f>1/3</f>
        <v>0.33333333333333331</v>
      </c>
      <c r="D4" s="29">
        <f t="shared" ref="D4:E4" si="0">1/3</f>
        <v>0.33333333333333331</v>
      </c>
      <c r="E4" s="29">
        <f t="shared" si="0"/>
        <v>0.33333333333333331</v>
      </c>
    </row>
    <row r="6" spans="2:9" ht="15" thickBot="1" x14ac:dyDescent="0.4">
      <c r="B6" s="19" t="s">
        <v>57</v>
      </c>
      <c r="C6" s="19" t="s">
        <v>63</v>
      </c>
      <c r="D6" s="20" t="s">
        <v>65</v>
      </c>
      <c r="E6" s="19" t="s">
        <v>64</v>
      </c>
      <c r="F6" s="20" t="s">
        <v>66</v>
      </c>
      <c r="G6" s="20" t="s">
        <v>94</v>
      </c>
      <c r="H6" s="20" t="s">
        <v>95</v>
      </c>
      <c r="I6" s="20" t="s">
        <v>67</v>
      </c>
    </row>
    <row r="7" spans="2:9" ht="43.5" x14ac:dyDescent="0.35">
      <c r="B7" t="s">
        <v>0</v>
      </c>
      <c r="C7" s="1" t="s">
        <v>9</v>
      </c>
      <c r="D7" s="1">
        <v>0.75</v>
      </c>
      <c r="E7" s="1" t="s">
        <v>7</v>
      </c>
      <c r="F7" s="1">
        <v>1</v>
      </c>
      <c r="G7" s="30">
        <v>0.65050739870685914</v>
      </c>
      <c r="H7" s="1">
        <v>0.8</v>
      </c>
      <c r="I7" s="32">
        <f>Table212[[#This Row],[Score 1.]]*$C$4+Table212[[#This Row],[Score 2.]]*$D$4+Table212[[#This Row],[Score 3.]]*$E$4</f>
        <v>0.84999999999999987</v>
      </c>
    </row>
    <row r="8" spans="2:9" ht="29" x14ac:dyDescent="0.35">
      <c r="B8" t="s">
        <v>1</v>
      </c>
      <c r="C8" s="1" t="s">
        <v>10</v>
      </c>
      <c r="D8" s="1">
        <v>0.25</v>
      </c>
      <c r="E8" s="1" t="s">
        <v>6</v>
      </c>
      <c r="F8" s="1">
        <v>1</v>
      </c>
      <c r="G8" s="30">
        <v>0.22573626137572961</v>
      </c>
      <c r="H8" s="1">
        <v>0.3</v>
      </c>
      <c r="I8" s="32">
        <f>Table212[[#This Row],[Score 1.]]*$C$4+Table212[[#This Row],[Score 2.]]*$D$4+Table212[[#This Row],[Score 3.]]*$E$4</f>
        <v>0.51666666666666661</v>
      </c>
    </row>
    <row r="9" spans="2:9" ht="58" x14ac:dyDescent="0.35">
      <c r="B9" t="s">
        <v>3</v>
      </c>
      <c r="C9" s="1" t="s">
        <v>11</v>
      </c>
      <c r="D9" s="1">
        <v>0.5</v>
      </c>
      <c r="E9" s="1" t="s">
        <v>8</v>
      </c>
      <c r="F9" s="1">
        <v>0.5</v>
      </c>
      <c r="G9" s="30">
        <v>0.69586552563425075</v>
      </c>
      <c r="H9" s="1">
        <v>0.8</v>
      </c>
      <c r="I9" s="32">
        <f>Table212[[#This Row],[Score 1.]]*$C$4+Table212[[#This Row],[Score 2.]]*$D$4+Table212[[#This Row],[Score 3.]]*$E$4</f>
        <v>0.6</v>
      </c>
    </row>
    <row r="10" spans="2:9" ht="188.5" x14ac:dyDescent="0.35">
      <c r="B10" t="s">
        <v>5</v>
      </c>
      <c r="C10" s="1" t="s">
        <v>101</v>
      </c>
      <c r="D10" s="1">
        <v>0.6</v>
      </c>
      <c r="E10" s="1" t="s">
        <v>12</v>
      </c>
      <c r="F10" s="1">
        <v>0.1</v>
      </c>
      <c r="G10" s="30">
        <v>0.30723068321801872</v>
      </c>
      <c r="H10" s="1">
        <v>0.6</v>
      </c>
      <c r="I10" s="32">
        <f>Table212[[#This Row],[Score 1.]]*$C$4+Table212[[#This Row],[Score 2.]]*$D$4+Table212[[#This Row],[Score 3.]]*$E$4</f>
        <v>0.43333333333333329</v>
      </c>
    </row>
    <row r="11" spans="2:9" ht="116" x14ac:dyDescent="0.35">
      <c r="B11" t="s">
        <v>89</v>
      </c>
      <c r="C11" s="1" t="s">
        <v>93</v>
      </c>
      <c r="D11" s="1">
        <v>0.35</v>
      </c>
      <c r="E11" s="1" t="s">
        <v>12</v>
      </c>
      <c r="F11" s="1">
        <v>0.1</v>
      </c>
      <c r="G11" s="30">
        <v>0.11</v>
      </c>
      <c r="H11" s="1">
        <v>0.3</v>
      </c>
      <c r="I11" s="32">
        <f>Table212[[#This Row],[Score 1.]]*$C$4+Table212[[#This Row],[Score 2.]]*$D$4+Table212[[#This Row],[Score 3.]]*$E$4</f>
        <v>0.25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E1F9-A635-4A4F-BF81-191B36311B47}">
  <dimension ref="B2:H9"/>
  <sheetViews>
    <sheetView showGridLines="0" zoomScaleNormal="100" workbookViewId="0">
      <selection activeCell="C5" sqref="C5"/>
    </sheetView>
  </sheetViews>
  <sheetFormatPr defaultRowHeight="14.5" x14ac:dyDescent="0.35"/>
  <cols>
    <col min="1" max="1" width="4.36328125" customWidth="1"/>
    <col min="2" max="2" width="28.08984375" bestFit="1" customWidth="1"/>
    <col min="3" max="3" width="20.6328125" bestFit="1" customWidth="1"/>
    <col min="4" max="4" width="55.81640625" customWidth="1"/>
    <col min="5" max="6" width="20.6328125" hidden="1" customWidth="1"/>
    <col min="7" max="7" width="31.36328125" hidden="1" customWidth="1"/>
  </cols>
  <sheetData>
    <row r="2" spans="2:8" ht="21" x14ac:dyDescent="0.5">
      <c r="B2" s="18" t="s">
        <v>52</v>
      </c>
    </row>
    <row r="4" spans="2:8" x14ac:dyDescent="0.35">
      <c r="B4" t="s">
        <v>57</v>
      </c>
      <c r="C4" t="s">
        <v>110</v>
      </c>
      <c r="D4" t="s">
        <v>61</v>
      </c>
      <c r="E4" t="s">
        <v>68</v>
      </c>
      <c r="F4" t="s">
        <v>70</v>
      </c>
      <c r="G4" t="s">
        <v>53</v>
      </c>
      <c r="H4" t="s">
        <v>49</v>
      </c>
    </row>
    <row r="5" spans="2:8" ht="101.5" x14ac:dyDescent="0.35">
      <c r="B5" s="1" t="s">
        <v>0</v>
      </c>
      <c r="C5" s="1">
        <v>42</v>
      </c>
      <c r="D5" s="1" t="s">
        <v>76</v>
      </c>
      <c r="E5" s="1" t="s">
        <v>69</v>
      </c>
      <c r="F5" s="1">
        <v>2</v>
      </c>
      <c r="G5" s="1" t="s">
        <v>55</v>
      </c>
      <c r="H5" s="1">
        <f>(Table7[[#This Row],[numeric]]-1)/(3-1)</f>
        <v>0.5</v>
      </c>
    </row>
    <row r="6" spans="2:8" ht="87" x14ac:dyDescent="0.35">
      <c r="B6" s="1" t="s">
        <v>1</v>
      </c>
      <c r="C6" s="1">
        <v>146</v>
      </c>
      <c r="D6" s="25" t="s">
        <v>77</v>
      </c>
      <c r="E6" s="1" t="s">
        <v>71</v>
      </c>
      <c r="F6" s="1">
        <v>3</v>
      </c>
      <c r="G6" s="1" t="s">
        <v>54</v>
      </c>
      <c r="H6" s="1">
        <f>(Table7[[#This Row],[numeric]]-1)/(3-1)</f>
        <v>1</v>
      </c>
    </row>
    <row r="7" spans="2:8" ht="72.5" x14ac:dyDescent="0.35">
      <c r="B7" s="1" t="s">
        <v>3</v>
      </c>
      <c r="C7" s="1">
        <v>8</v>
      </c>
      <c r="D7" s="1" t="s">
        <v>88</v>
      </c>
      <c r="E7" s="1" t="s">
        <v>80</v>
      </c>
      <c r="F7" s="1">
        <v>1</v>
      </c>
      <c r="G7" s="1" t="s">
        <v>72</v>
      </c>
      <c r="H7" s="1">
        <v>0.2</v>
      </c>
    </row>
    <row r="8" spans="2:8" x14ac:dyDescent="0.35">
      <c r="B8" s="1" t="s">
        <v>5</v>
      </c>
      <c r="C8" s="1"/>
      <c r="D8" s="1"/>
      <c r="E8" s="1"/>
      <c r="F8" s="1">
        <v>1</v>
      </c>
      <c r="G8" s="1"/>
      <c r="H8" s="1">
        <v>0.1</v>
      </c>
    </row>
    <row r="9" spans="2:8" x14ac:dyDescent="0.35">
      <c r="B9" s="1" t="s">
        <v>90</v>
      </c>
      <c r="C9" s="1"/>
      <c r="D9" s="1"/>
      <c r="E9" s="1"/>
      <c r="F9" s="1">
        <v>1</v>
      </c>
      <c r="G9" s="1"/>
      <c r="H9" s="1">
        <v>0.1</v>
      </c>
    </row>
  </sheetData>
  <phoneticPr fontId="3" type="noConversion"/>
  <hyperlinks>
    <hyperlink ref="D6" r:id="rId1" display="https://www.storm.mg/article/4474040" xr:uid="{F948075A-45BE-4ACC-B4C4-81E86B861ABF}"/>
  </hyperlink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A61B-CE7F-43C5-8BE2-77A85046A733}">
  <dimension ref="B2:I23"/>
  <sheetViews>
    <sheetView showGridLines="0" zoomScale="110" zoomScaleNormal="110" workbookViewId="0">
      <selection activeCell="I23" sqref="I23"/>
    </sheetView>
  </sheetViews>
  <sheetFormatPr defaultRowHeight="14.5" x14ac:dyDescent="0.35"/>
  <cols>
    <col min="1" max="1" width="4" customWidth="1"/>
    <col min="3" max="3" width="14.90625" customWidth="1"/>
    <col min="4" max="4" width="11.90625" customWidth="1"/>
    <col min="5" max="5" width="12.7265625" customWidth="1"/>
    <col min="7" max="7" width="13.90625" customWidth="1"/>
    <col min="9" max="9" width="15.81640625" customWidth="1"/>
  </cols>
  <sheetData>
    <row r="2" spans="2:9" ht="21" x14ac:dyDescent="0.5">
      <c r="B2" s="18" t="s">
        <v>31</v>
      </c>
    </row>
    <row r="4" spans="2:9" x14ac:dyDescent="0.35">
      <c r="B4" t="s">
        <v>57</v>
      </c>
      <c r="C4" t="s">
        <v>13</v>
      </c>
      <c r="D4" t="s">
        <v>25</v>
      </c>
      <c r="E4" t="s">
        <v>24</v>
      </c>
      <c r="G4" s="38"/>
      <c r="H4" s="39" t="s">
        <v>23</v>
      </c>
      <c r="I4" s="40" t="s">
        <v>73</v>
      </c>
    </row>
    <row r="5" spans="2:9" x14ac:dyDescent="0.35">
      <c r="B5" t="s">
        <v>0</v>
      </c>
      <c r="C5" t="s">
        <v>14</v>
      </c>
      <c r="D5" s="2">
        <v>0.48799999999999999</v>
      </c>
      <c r="E5" s="2">
        <f>Table54[[#This Row],[Share (%)]]^2</f>
        <v>0.23814399999999999</v>
      </c>
      <c r="G5" s="41" t="s">
        <v>0</v>
      </c>
      <c r="H5" s="42">
        <f>SUMIF(B:B,"Coal",E:E)</f>
        <v>0.33541786000000001</v>
      </c>
      <c r="I5" s="43">
        <f>1-H5</f>
        <v>0.66458214000000004</v>
      </c>
    </row>
    <row r="6" spans="2:9" x14ac:dyDescent="0.35">
      <c r="B6" t="s">
        <v>0</v>
      </c>
      <c r="C6" t="s">
        <v>15</v>
      </c>
      <c r="D6" s="2">
        <v>0.27650000000000002</v>
      </c>
      <c r="E6" s="2">
        <f>Table54[[#This Row],[Share (%)]]^2</f>
        <v>7.6452250000000013E-2</v>
      </c>
      <c r="G6" s="44" t="s">
        <v>3</v>
      </c>
      <c r="H6" s="46">
        <f>SUMIF(B:B,"LNG",E:E)</f>
        <v>0.23060350000000002</v>
      </c>
      <c r="I6" s="45">
        <f>1-H6</f>
        <v>0.76939650000000004</v>
      </c>
    </row>
    <row r="7" spans="2:9" x14ac:dyDescent="0.35">
      <c r="B7" t="s">
        <v>0</v>
      </c>
      <c r="C7" t="s">
        <v>17</v>
      </c>
      <c r="D7" s="2">
        <v>0.1341</v>
      </c>
      <c r="E7" s="2">
        <f>Table54[[#This Row],[Share (%)]]^2</f>
        <v>1.7982809999999998E-2</v>
      </c>
    </row>
    <row r="8" spans="2:9" x14ac:dyDescent="0.35">
      <c r="B8" t="s">
        <v>0</v>
      </c>
      <c r="C8" t="s">
        <v>18</v>
      </c>
      <c r="D8" s="2">
        <v>3.4599999999999999E-2</v>
      </c>
      <c r="E8" s="2">
        <f>Table54[[#This Row],[Share (%)]]^2</f>
        <v>1.1971599999999998E-3</v>
      </c>
    </row>
    <row r="9" spans="2:9" x14ac:dyDescent="0.35">
      <c r="B9" t="s">
        <v>0</v>
      </c>
      <c r="C9" t="s">
        <v>19</v>
      </c>
      <c r="D9" s="2">
        <v>3.0700000000000002E-2</v>
      </c>
      <c r="E9" s="2">
        <f>Table54[[#This Row],[Share (%)]]^2</f>
        <v>9.4249000000000015E-4</v>
      </c>
    </row>
    <row r="10" spans="2:9" x14ac:dyDescent="0.35">
      <c r="B10" t="s">
        <v>0</v>
      </c>
      <c r="C10" t="s">
        <v>20</v>
      </c>
      <c r="D10" s="2">
        <v>2.4400000000000002E-2</v>
      </c>
      <c r="E10" s="2">
        <f>Table54[[#This Row],[Share (%)]]^2</f>
        <v>5.9536000000000007E-4</v>
      </c>
    </row>
    <row r="11" spans="2:9" x14ac:dyDescent="0.35">
      <c r="B11" t="s">
        <v>0</v>
      </c>
      <c r="C11" t="s">
        <v>21</v>
      </c>
      <c r="D11" s="2">
        <v>1.2999999999999999E-3</v>
      </c>
      <c r="E11" s="2">
        <f>Table54[[#This Row],[Share (%)]]^2</f>
        <v>1.6899999999999999E-6</v>
      </c>
    </row>
    <row r="12" spans="2:9" x14ac:dyDescent="0.35">
      <c r="B12" t="s">
        <v>0</v>
      </c>
      <c r="C12" t="s">
        <v>22</v>
      </c>
      <c r="D12" s="2">
        <v>1.01E-2</v>
      </c>
      <c r="E12" s="2">
        <f>Table54[[#This Row],[Share (%)]]^2</f>
        <v>1.0200999999999999E-4</v>
      </c>
    </row>
    <row r="13" spans="2:9" x14ac:dyDescent="0.35">
      <c r="B13" t="s">
        <v>0</v>
      </c>
      <c r="C13" t="s">
        <v>51</v>
      </c>
      <c r="D13" s="2">
        <v>2.9999999999999997E-4</v>
      </c>
      <c r="E13" s="2">
        <f>Table54[[#This Row],[Share (%)]]^2</f>
        <v>8.9999999999999985E-8</v>
      </c>
    </row>
    <row r="14" spans="2:9" x14ac:dyDescent="0.35">
      <c r="B14" t="s">
        <v>3</v>
      </c>
      <c r="C14" t="s">
        <v>14</v>
      </c>
      <c r="D14" s="2">
        <v>0.37890000000000001</v>
      </c>
      <c r="E14" s="2">
        <f>Table54[[#This Row],[Share (%)]]^2</f>
        <v>0.14356521</v>
      </c>
    </row>
    <row r="15" spans="2:9" x14ac:dyDescent="0.35">
      <c r="B15" t="s">
        <v>3</v>
      </c>
      <c r="C15" t="s">
        <v>26</v>
      </c>
      <c r="D15" s="2">
        <v>0.25340000000000001</v>
      </c>
      <c r="E15" s="2">
        <f>Table54[[#This Row],[Share (%)]]^2</f>
        <v>6.4211560000000001E-2</v>
      </c>
    </row>
    <row r="16" spans="2:9" x14ac:dyDescent="0.35">
      <c r="B16" t="s">
        <v>3</v>
      </c>
      <c r="C16" t="s">
        <v>21</v>
      </c>
      <c r="D16" s="2">
        <v>9.8500000000000004E-2</v>
      </c>
      <c r="E16" s="2">
        <f>Table54[[#This Row],[Share (%)]]^2</f>
        <v>9.7022500000000008E-3</v>
      </c>
    </row>
    <row r="17" spans="2:5" x14ac:dyDescent="0.35">
      <c r="B17" t="s">
        <v>3</v>
      </c>
      <c r="C17" t="s">
        <v>27</v>
      </c>
      <c r="D17" s="2">
        <v>6.4699999999999994E-2</v>
      </c>
      <c r="E17" s="2">
        <f>Table54[[#This Row],[Share (%)]]^2</f>
        <v>4.1860899999999991E-3</v>
      </c>
    </row>
    <row r="18" spans="2:5" x14ac:dyDescent="0.35">
      <c r="B18" t="s">
        <v>3</v>
      </c>
      <c r="C18" t="s">
        <v>22</v>
      </c>
      <c r="D18" s="2">
        <v>6.3399999999999998E-2</v>
      </c>
      <c r="E18" s="2">
        <f>Table54[[#This Row],[Share (%)]]^2</f>
        <v>4.0195600000000001E-3</v>
      </c>
    </row>
    <row r="19" spans="2:5" x14ac:dyDescent="0.35">
      <c r="B19" t="s">
        <v>3</v>
      </c>
      <c r="C19" t="s">
        <v>28</v>
      </c>
      <c r="D19" s="2">
        <v>4.8599999999999997E-2</v>
      </c>
      <c r="E19" s="2">
        <f>Table54[[#This Row],[Share (%)]]^2</f>
        <v>2.3619599999999998E-3</v>
      </c>
    </row>
    <row r="20" spans="2:5" x14ac:dyDescent="0.35">
      <c r="B20" t="s">
        <v>3</v>
      </c>
      <c r="C20" t="s">
        <v>15</v>
      </c>
      <c r="D20" s="2">
        <v>3.9699999999999999E-2</v>
      </c>
      <c r="E20" s="2">
        <f>Table54[[#This Row],[Share (%)]]^2</f>
        <v>1.57609E-3</v>
      </c>
    </row>
    <row r="21" spans="2:5" x14ac:dyDescent="0.35">
      <c r="B21" t="s">
        <v>3</v>
      </c>
      <c r="C21" t="s">
        <v>17</v>
      </c>
      <c r="D21" s="2">
        <v>2.2100000000000002E-2</v>
      </c>
      <c r="E21" s="2">
        <f>Table54[[#This Row],[Share (%)]]^2</f>
        <v>4.884100000000001E-4</v>
      </c>
    </row>
    <row r="22" spans="2:5" x14ac:dyDescent="0.35">
      <c r="B22" t="s">
        <v>3</v>
      </c>
      <c r="C22" t="s">
        <v>29</v>
      </c>
      <c r="D22" s="2">
        <v>1.21E-2</v>
      </c>
      <c r="E22" s="2">
        <f>Table54[[#This Row],[Share (%)]]^2</f>
        <v>1.4641E-4</v>
      </c>
    </row>
    <row r="23" spans="2:5" x14ac:dyDescent="0.35">
      <c r="B23" t="s">
        <v>3</v>
      </c>
      <c r="C23" t="s">
        <v>30</v>
      </c>
      <c r="D23" s="2">
        <v>1.8599999999999998E-2</v>
      </c>
      <c r="E23" s="2">
        <f>Table54[[#This Row],[Share (%)]]^2</f>
        <v>3.4595999999999992E-4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46D7-FC39-4F7B-A2E1-96B7C8375020}">
  <dimension ref="B2:N29"/>
  <sheetViews>
    <sheetView showGridLines="0" workbookViewId="0">
      <selection activeCell="N16" sqref="N16"/>
    </sheetView>
  </sheetViews>
  <sheetFormatPr defaultRowHeight="14.5" x14ac:dyDescent="0.35"/>
  <cols>
    <col min="1" max="1" width="4.36328125" customWidth="1"/>
    <col min="3" max="3" width="18" bestFit="1" customWidth="1"/>
    <col min="4" max="4" width="10.81640625" customWidth="1"/>
    <col min="5" max="5" width="19.08984375" customWidth="1"/>
    <col min="7" max="7" width="11" customWidth="1"/>
    <col min="8" max="8" width="41.453125" customWidth="1"/>
    <col min="9" max="9" width="19.81640625" customWidth="1"/>
    <col min="10" max="10" width="23.36328125" customWidth="1"/>
    <col min="11" max="11" width="19.26953125" customWidth="1"/>
    <col min="13" max="13" width="9.6328125" customWidth="1"/>
    <col min="14" max="14" width="12.7265625" customWidth="1"/>
  </cols>
  <sheetData>
    <row r="2" spans="2:14" ht="21" x14ac:dyDescent="0.5">
      <c r="B2" s="18" t="s">
        <v>32</v>
      </c>
    </row>
    <row r="3" spans="2:14" ht="21" x14ac:dyDescent="0.5">
      <c r="B3" s="18"/>
    </row>
    <row r="4" spans="2:14" ht="148.5" customHeight="1" x14ac:dyDescent="0.35">
      <c r="E4" s="47" t="s">
        <v>102</v>
      </c>
      <c r="F4" s="47"/>
      <c r="G4" s="47"/>
      <c r="H4" s="48" t="s">
        <v>103</v>
      </c>
      <c r="I4" s="49" t="s">
        <v>104</v>
      </c>
      <c r="J4" s="49"/>
    </row>
    <row r="5" spans="2:14" x14ac:dyDescent="0.35">
      <c r="B5" t="s">
        <v>57</v>
      </c>
      <c r="C5" t="s">
        <v>13</v>
      </c>
      <c r="D5" t="s">
        <v>25</v>
      </c>
      <c r="E5" s="4" t="s">
        <v>41</v>
      </c>
      <c r="F5" s="4" t="s">
        <v>38</v>
      </c>
      <c r="G5" s="4" t="s">
        <v>39</v>
      </c>
      <c r="H5" s="8" t="s">
        <v>42</v>
      </c>
      <c r="I5" s="12" t="s">
        <v>48</v>
      </c>
      <c r="J5" s="12" t="s">
        <v>35</v>
      </c>
      <c r="K5" t="s">
        <v>49</v>
      </c>
      <c r="M5" s="50" t="s">
        <v>16</v>
      </c>
      <c r="N5" s="51" t="s">
        <v>105</v>
      </c>
    </row>
    <row r="6" spans="2:14" x14ac:dyDescent="0.35">
      <c r="B6" t="s">
        <v>0</v>
      </c>
      <c r="C6" t="s">
        <v>14</v>
      </c>
      <c r="D6" s="2">
        <v>48.8</v>
      </c>
      <c r="E6">
        <v>19.600000000000001</v>
      </c>
      <c r="F6">
        <f>$F$26-Table6[[#This Row],[Fragile States Index 2024]]</f>
        <v>100.4</v>
      </c>
      <c r="G6" s="7">
        <f>(Table6[[#This Row],[Reserse]]-0)/(120-0)</f>
        <v>0.83666666666666667</v>
      </c>
      <c r="H6" s="7">
        <v>1</v>
      </c>
      <c r="I6" s="7">
        <v>0.91705721616744995</v>
      </c>
      <c r="J6" s="7">
        <f>(Table6[[#This Row],[Political Stability and Absence of Violence/Terrorism: Estimate 2023]]-(-2.5))/(2.5-(-2.5))</f>
        <v>0.68341144323349001</v>
      </c>
      <c r="K6" s="7">
        <f>(Table6[[#This Row],[Normal]]+Table6[[#This Row],[Political Risk Index 2022]]+Table6[[#This Row],[Normalized]])/3</f>
        <v>0.8400260366333856</v>
      </c>
      <c r="M6" s="41" t="s">
        <v>0</v>
      </c>
      <c r="N6" s="52">
        <f>SUMIF(B:B,"Coal",K:K)/COUNTIF(B:B,"Coal")</f>
        <v>0.58695782304283173</v>
      </c>
    </row>
    <row r="7" spans="2:14" x14ac:dyDescent="0.35">
      <c r="B7" t="s">
        <v>0</v>
      </c>
      <c r="C7" t="s">
        <v>15</v>
      </c>
      <c r="D7" s="2">
        <v>27.6</v>
      </c>
      <c r="E7">
        <v>63.7</v>
      </c>
      <c r="F7">
        <f>$F$26-Table6[[#This Row],[Fragile States Index 2024]]</f>
        <v>56.3</v>
      </c>
      <c r="G7" s="7">
        <f>(Table6[[#This Row],[Reserse]]-0)/(120-0)</f>
        <v>0.46916666666666662</v>
      </c>
      <c r="H7" s="7">
        <v>0.54166666666666663</v>
      </c>
      <c r="I7" s="7">
        <v>-0.40437531471252403</v>
      </c>
      <c r="J7" s="7">
        <f>(Table6[[#This Row],[Political Stability and Absence of Violence/Terrorism: Estimate 2023]]-(-2.5))/(2.5-(-2.5))</f>
        <v>0.41912493705749521</v>
      </c>
      <c r="K7" s="7">
        <f>(Table6[[#This Row],[Normal]]+Table6[[#This Row],[Political Risk Index 2022]]+Table6[[#This Row],[Normalized]])/3</f>
        <v>0.4766527567969428</v>
      </c>
      <c r="M7" s="44" t="s">
        <v>3</v>
      </c>
      <c r="N7" s="53">
        <f>SUMIF(B:B,"LNG",K:K)/COUNTIF(B:B,"LNG")</f>
        <v>0.54355594667755525</v>
      </c>
    </row>
    <row r="8" spans="2:14" x14ac:dyDescent="0.35">
      <c r="B8" t="s">
        <v>0</v>
      </c>
      <c r="C8" t="s">
        <v>17</v>
      </c>
      <c r="D8" s="2">
        <v>13.4</v>
      </c>
      <c r="E8">
        <v>81.599999999999994</v>
      </c>
      <c r="F8">
        <f>$F$26-Table6[[#This Row],[Fragile States Index 2024]]</f>
        <v>38.400000000000006</v>
      </c>
      <c r="G8" s="7">
        <f>(Table6[[#This Row],[Reserse]]-0)/(120-0)</f>
        <v>0.32000000000000006</v>
      </c>
      <c r="H8" s="7">
        <v>0.45833333333333337</v>
      </c>
      <c r="I8" s="7">
        <v>-1.13433384895325</v>
      </c>
      <c r="J8" s="7">
        <f>(Table6[[#This Row],[Political Stability and Absence of Violence/Terrorism: Estimate 2023]]-(-2.5))/(2.5-(-2.5))</f>
        <v>0.27313323020934999</v>
      </c>
      <c r="K8" s="7">
        <f>(Table6[[#This Row],[Normal]]+Table6[[#This Row],[Political Risk Index 2022]]+Table6[[#This Row],[Normalized]])/3</f>
        <v>0.35048885451422779</v>
      </c>
    </row>
    <row r="9" spans="2:14" x14ac:dyDescent="0.35">
      <c r="B9" t="s">
        <v>0</v>
      </c>
      <c r="C9" t="s">
        <v>18</v>
      </c>
      <c r="D9" s="2">
        <v>3.5</v>
      </c>
      <c r="E9">
        <v>69.599999999999994</v>
      </c>
      <c r="F9">
        <f>$F$26-Table6[[#This Row],[Fragile States Index 2024]]</f>
        <v>50.400000000000006</v>
      </c>
      <c r="G9" s="7">
        <f>(Table6[[#This Row],[Reserse]]-0)/(120-0)</f>
        <v>0.42000000000000004</v>
      </c>
      <c r="H9" s="7">
        <v>0.83333333333333337</v>
      </c>
      <c r="I9" s="7">
        <v>-0.66564202308654796</v>
      </c>
      <c r="J9" s="7">
        <f>(Table6[[#This Row],[Political Stability and Absence of Violence/Terrorism: Estimate 2023]]-(-2.5))/(2.5-(-2.5))</f>
        <v>0.36687159538269043</v>
      </c>
      <c r="K9" s="7">
        <f>(Table6[[#This Row],[Normal]]+Table6[[#This Row],[Political Risk Index 2022]]+Table6[[#This Row],[Normalized]])/3</f>
        <v>0.54006830957200791</v>
      </c>
    </row>
    <row r="10" spans="2:14" x14ac:dyDescent="0.35">
      <c r="B10" t="s">
        <v>0</v>
      </c>
      <c r="C10" t="s">
        <v>19</v>
      </c>
      <c r="D10" s="2">
        <v>3.1</v>
      </c>
      <c r="E10">
        <v>75.599999999999994</v>
      </c>
      <c r="F10">
        <f>$F$26-Table6[[#This Row],[Fragile States Index 2024]]</f>
        <v>44.400000000000006</v>
      </c>
      <c r="G10" s="7">
        <f>(Table6[[#This Row],[Reserse]]-0)/(120-0)</f>
        <v>0.37000000000000005</v>
      </c>
      <c r="H10" s="7">
        <v>0.58333333333333337</v>
      </c>
      <c r="I10" s="7">
        <v>-0.71731323003768899</v>
      </c>
      <c r="J10" s="7">
        <f>(Table6[[#This Row],[Political Stability and Absence of Violence/Terrorism: Estimate 2023]]-(-2.5))/(2.5-(-2.5))</f>
        <v>0.35653735399246222</v>
      </c>
      <c r="K10" s="7">
        <f>(Table6[[#This Row],[Normal]]+Table6[[#This Row],[Political Risk Index 2022]]+Table6[[#This Row],[Normalized]])/3</f>
        <v>0.43662356244193185</v>
      </c>
    </row>
    <row r="11" spans="2:14" x14ac:dyDescent="0.35">
      <c r="B11" t="s">
        <v>0</v>
      </c>
      <c r="C11" t="s">
        <v>20</v>
      </c>
      <c r="D11" s="2">
        <v>2.4</v>
      </c>
      <c r="E11">
        <v>18.600000000000001</v>
      </c>
      <c r="F11">
        <f>$F$26-Table6[[#This Row],[Fragile States Index 2024]]</f>
        <v>101.4</v>
      </c>
      <c r="G11" s="7">
        <f>(Table6[[#This Row],[Reserse]]-0)/(120-0)</f>
        <v>0.84500000000000008</v>
      </c>
      <c r="H11" s="7">
        <v>1</v>
      </c>
      <c r="I11" s="7">
        <v>0.82242053747177102</v>
      </c>
      <c r="J11" s="7">
        <f>(Table6[[#This Row],[Political Stability and Absence of Violence/Terrorism: Estimate 2023]]-(-2.5))/(2.5-(-2.5))</f>
        <v>0.66448410749435427</v>
      </c>
      <c r="K11" s="7">
        <f>(Table6[[#This Row],[Normal]]+Table6[[#This Row],[Political Risk Index 2022]]+Table6[[#This Row],[Normalized]])/3</f>
        <v>0.83649470249811808</v>
      </c>
    </row>
    <row r="12" spans="2:14" x14ac:dyDescent="0.35">
      <c r="B12" t="s">
        <v>0</v>
      </c>
      <c r="C12" t="s">
        <v>21</v>
      </c>
      <c r="D12" s="2">
        <v>0.1</v>
      </c>
      <c r="E12">
        <v>44.5</v>
      </c>
      <c r="F12">
        <f>$F$26-Table6[[#This Row],[Fragile States Index 2024]]</f>
        <v>75.5</v>
      </c>
      <c r="G12" s="7">
        <f>(Table6[[#This Row],[Reserse]]-0)/(120-0)</f>
        <v>0.62916666666666665</v>
      </c>
      <c r="H12" s="7">
        <v>0.75</v>
      </c>
      <c r="I12" s="7">
        <v>2.9424749314785E-2</v>
      </c>
      <c r="J12" s="7">
        <f>(Table6[[#This Row],[Political Stability and Absence of Violence/Terrorism: Estimate 2023]]-(-2.5))/(2.5-(-2.5))</f>
        <v>0.50588494986295696</v>
      </c>
      <c r="K12" s="7">
        <f>(Table6[[#This Row],[Normal]]+Table6[[#This Row],[Political Risk Index 2022]]+Table6[[#This Row],[Normalized]])/3</f>
        <v>0.62835053884320791</v>
      </c>
    </row>
    <row r="13" spans="2:14" x14ac:dyDescent="0.35">
      <c r="B13" t="s">
        <v>3</v>
      </c>
      <c r="C13" t="s">
        <v>14</v>
      </c>
      <c r="D13" s="2">
        <v>37.9</v>
      </c>
      <c r="E13">
        <v>19.600000000000001</v>
      </c>
      <c r="F13">
        <f>$F$26-Table6[[#This Row],[Fragile States Index 2024]]</f>
        <v>100.4</v>
      </c>
      <c r="G13" s="7">
        <f>(Table6[[#This Row],[Reserse]]-0)/(120-0)</f>
        <v>0.83666666666666667</v>
      </c>
      <c r="H13" s="7">
        <v>1</v>
      </c>
      <c r="I13" s="7">
        <v>0.91705721616744995</v>
      </c>
      <c r="J13" s="7">
        <f>(Table6[[#This Row],[Political Stability and Absence of Violence/Terrorism: Estimate 2023]]-(-2.5))/(2.5-(-2.5))</f>
        <v>0.68341144323349001</v>
      </c>
      <c r="K13" s="7">
        <f>(Table6[[#This Row],[Normal]]+Table6[[#This Row],[Political Risk Index 2022]]+Table6[[#This Row],[Normalized]])/3</f>
        <v>0.8400260366333856</v>
      </c>
    </row>
    <row r="14" spans="2:14" x14ac:dyDescent="0.35">
      <c r="B14" t="s">
        <v>3</v>
      </c>
      <c r="C14" t="s">
        <v>26</v>
      </c>
      <c r="D14" s="2">
        <v>25.3</v>
      </c>
      <c r="E14">
        <v>39.799999999999997</v>
      </c>
      <c r="F14">
        <f>$F$26-Table6[[#This Row],[Fragile States Index 2024]]</f>
        <v>80.2</v>
      </c>
      <c r="G14" s="7">
        <f>(Table6[[#This Row],[Reserse]]-0)/(120-0)</f>
        <v>0.66833333333333333</v>
      </c>
      <c r="H14" s="7">
        <v>0.5</v>
      </c>
      <c r="I14" s="7">
        <v>0.99338114261627197</v>
      </c>
      <c r="J14" s="7">
        <f>(Table6[[#This Row],[Political Stability and Absence of Violence/Terrorism: Estimate 2023]]-(-2.5))/(2.5-(-2.5))</f>
        <v>0.69867622852325439</v>
      </c>
      <c r="K14" s="7">
        <f>(Table6[[#This Row],[Normal]]+Table6[[#This Row],[Political Risk Index 2022]]+Table6[[#This Row],[Normalized]])/3</f>
        <v>0.62233652061886258</v>
      </c>
    </row>
    <row r="15" spans="2:14" x14ac:dyDescent="0.35">
      <c r="B15" t="s">
        <v>3</v>
      </c>
      <c r="C15" t="s">
        <v>21</v>
      </c>
      <c r="D15" s="2">
        <v>9.8000000000000007</v>
      </c>
      <c r="E15">
        <v>44.5</v>
      </c>
      <c r="F15">
        <f>$F$26-Table6[[#This Row],[Fragile States Index 2024]]</f>
        <v>75.5</v>
      </c>
      <c r="G15" s="7">
        <f>(Table6[[#This Row],[Reserse]]-0)/(120-0)</f>
        <v>0.62916666666666665</v>
      </c>
      <c r="H15" s="7">
        <v>0.75</v>
      </c>
      <c r="I15" s="7">
        <v>2.9424749314785E-2</v>
      </c>
      <c r="J15" s="7">
        <f>(Table6[[#This Row],[Political Stability and Absence of Violence/Terrorism: Estimate 2023]]-(-2.5))/(2.5-(-2.5))</f>
        <v>0.50588494986295696</v>
      </c>
      <c r="K15" s="7">
        <f>(Table6[[#This Row],[Normal]]+Table6[[#This Row],[Political Risk Index 2022]]+Table6[[#This Row],[Normalized]])/3</f>
        <v>0.62835053884320791</v>
      </c>
    </row>
    <row r="16" spans="2:14" x14ac:dyDescent="0.35">
      <c r="B16" t="s">
        <v>3</v>
      </c>
      <c r="C16" t="s">
        <v>27</v>
      </c>
      <c r="D16" s="2">
        <v>6.5</v>
      </c>
      <c r="E16">
        <v>78.8</v>
      </c>
      <c r="F16">
        <f>$F$26-Table6[[#This Row],[Fragile States Index 2024]]</f>
        <v>41.2</v>
      </c>
      <c r="G16" s="7">
        <f>(Table6[[#This Row],[Reserse]]-0)/(120-0)</f>
        <v>0.34333333333333338</v>
      </c>
      <c r="H16" s="7">
        <v>0.70833333333333326</v>
      </c>
      <c r="I16" s="7">
        <v>-0.47884482145309398</v>
      </c>
      <c r="J16" s="7">
        <f>(Table6[[#This Row],[Political Stability and Absence of Violence/Terrorism: Estimate 2023]]-(-2.5))/(2.5-(-2.5))</f>
        <v>0.40423103570938118</v>
      </c>
      <c r="K16" s="7">
        <f>(Table6[[#This Row],[Normal]]+Table6[[#This Row],[Political Risk Index 2022]]+Table6[[#This Row],[Normalized]])/3</f>
        <v>0.48529923412534931</v>
      </c>
    </row>
    <row r="17" spans="2:12" x14ac:dyDescent="0.35">
      <c r="B17" t="s">
        <v>3</v>
      </c>
      <c r="C17" t="s">
        <v>28</v>
      </c>
      <c r="D17" s="2">
        <v>4.9000000000000004</v>
      </c>
      <c r="E17">
        <v>53.1</v>
      </c>
      <c r="F17">
        <f>$F$26-Table6[[#This Row],[Fragile States Index 2024]]</f>
        <v>66.900000000000006</v>
      </c>
      <c r="G17" s="7">
        <f>(Table6[[#This Row],[Reserse]]-0)/(120-0)</f>
        <v>0.5575</v>
      </c>
      <c r="H17" s="7">
        <v>0.71</v>
      </c>
      <c r="I17" s="7">
        <v>0.16851469874382</v>
      </c>
      <c r="J17" s="7">
        <f>(Table6[[#This Row],[Political Stability and Absence of Violence/Terrorism: Estimate 2023]]-(-2.5))/(2.5-(-2.5))</f>
        <v>0.53370293974876404</v>
      </c>
      <c r="K17" s="7">
        <f>(Table6[[#This Row],[Normal]]+Table6[[#This Row],[Political Risk Index 2022]]+Table6[[#This Row],[Normalized]])/3</f>
        <v>0.60040097991625474</v>
      </c>
    </row>
    <row r="18" spans="2:12" x14ac:dyDescent="0.35">
      <c r="B18" t="s">
        <v>3</v>
      </c>
      <c r="C18" t="s">
        <v>15</v>
      </c>
      <c r="D18" s="2">
        <v>4</v>
      </c>
      <c r="E18">
        <v>63.7</v>
      </c>
      <c r="F18">
        <f>$F$26-Table6[[#This Row],[Fragile States Index 2024]]</f>
        <v>56.3</v>
      </c>
      <c r="G18" s="7">
        <f>(Table6[[#This Row],[Reserse]]-0)/(120-0)</f>
        <v>0.46916666666666662</v>
      </c>
      <c r="H18" s="7">
        <v>0.54166666666666663</v>
      </c>
      <c r="I18" s="7">
        <v>-0.40437531471252403</v>
      </c>
      <c r="J18" s="7">
        <f>(Table6[[#This Row],[Political Stability and Absence of Violence/Terrorism: Estimate 2023]]-(-2.5))/(2.5-(-2.5))</f>
        <v>0.41912493705749521</v>
      </c>
      <c r="K18" s="7">
        <f>(Table6[[#This Row],[Normal]]+Table6[[#This Row],[Political Risk Index 2022]]+Table6[[#This Row],[Normalized]])/3</f>
        <v>0.4766527567969428</v>
      </c>
    </row>
    <row r="19" spans="2:12" x14ac:dyDescent="0.35">
      <c r="B19" t="s">
        <v>3</v>
      </c>
      <c r="C19" t="s">
        <v>17</v>
      </c>
      <c r="D19" s="2">
        <v>2.2000000000000002</v>
      </c>
      <c r="E19">
        <v>81.599999999999994</v>
      </c>
      <c r="F19">
        <f>$F$26-Table6[[#This Row],[Fragile States Index 2024]]</f>
        <v>38.400000000000006</v>
      </c>
      <c r="G19" s="7">
        <f>(Table6[[#This Row],[Reserse]]-0)/(120-0)</f>
        <v>0.32000000000000006</v>
      </c>
      <c r="H19" s="7">
        <v>0.45833333333333337</v>
      </c>
      <c r="I19" s="7">
        <v>-1.13433384895325</v>
      </c>
      <c r="J19" s="7">
        <f>(Table6[[#This Row],[Political Stability and Absence of Violence/Terrorism: Estimate 2023]]-(-2.5))/(2.5-(-2.5))</f>
        <v>0.27313323020934999</v>
      </c>
      <c r="K19" s="7">
        <f>(Table6[[#This Row],[Normal]]+Table6[[#This Row],[Political Risk Index 2022]]+Table6[[#This Row],[Normalized]])/3</f>
        <v>0.35048885451422779</v>
      </c>
    </row>
    <row r="20" spans="2:12" x14ac:dyDescent="0.35">
      <c r="B20" t="s">
        <v>3</v>
      </c>
      <c r="C20" t="s">
        <v>29</v>
      </c>
      <c r="D20" s="2">
        <v>1.2</v>
      </c>
      <c r="E20">
        <v>96.6</v>
      </c>
      <c r="F20">
        <f>$F$26-Table6[[#This Row],[Fragile States Index 2024]]</f>
        <v>23.400000000000006</v>
      </c>
      <c r="G20" s="7">
        <f>(Table6[[#This Row],[Reserse]]-0)/(120-0)</f>
        <v>0.19500000000000003</v>
      </c>
      <c r="H20" s="7">
        <v>0.54166666666666663</v>
      </c>
      <c r="I20" s="7">
        <v>-1.7684383392334</v>
      </c>
      <c r="J20" s="7">
        <f>(Table6[[#This Row],[Political Stability and Absence of Violence/Terrorism: Estimate 2023]]-(-2.5))/(2.5-(-2.5))</f>
        <v>0.14631233215332001</v>
      </c>
      <c r="K20" s="7">
        <f>(Table6[[#This Row],[Normal]]+Table6[[#This Row],[Political Risk Index 2022]]+Table6[[#This Row],[Normalized]])/3</f>
        <v>0.29432633293999561</v>
      </c>
    </row>
    <row r="21" spans="2:12" x14ac:dyDescent="0.35">
      <c r="B21" t="s">
        <v>3</v>
      </c>
      <c r="C21" t="s">
        <v>30</v>
      </c>
      <c r="D21" s="2">
        <v>1.9</v>
      </c>
      <c r="E21">
        <v>53.9</v>
      </c>
      <c r="F21">
        <f>$F$26-Table6[[#This Row],[Fragile States Index 2024]]</f>
        <v>66.099999999999994</v>
      </c>
      <c r="G21" s="7">
        <f>(Table6[[#This Row],[Reserse]]-0)/(120-0)</f>
        <v>0.55083333333333329</v>
      </c>
      <c r="H21" s="7">
        <v>0.45833333333333337</v>
      </c>
      <c r="I21" s="7">
        <v>1.36600065231323</v>
      </c>
      <c r="J21" s="7">
        <f>(Table6[[#This Row],[Political Stability and Absence of Violence/Terrorism: Estimate 2023]]-(-2.5))/(2.5-(-2.5))</f>
        <v>0.77320013046264591</v>
      </c>
      <c r="K21" s="7">
        <f>(Table6[[#This Row],[Normal]]+Table6[[#This Row],[Political Risk Index 2022]]+Table6[[#This Row],[Normalized]])/3</f>
        <v>0.59412226570977089</v>
      </c>
    </row>
    <row r="25" spans="2:12" ht="58" hidden="1" x14ac:dyDescent="0.35">
      <c r="E25" s="6" t="s">
        <v>33</v>
      </c>
      <c r="F25" s="3"/>
      <c r="H25" s="10" t="s">
        <v>40</v>
      </c>
      <c r="I25" s="11"/>
      <c r="K25" s="35" t="s">
        <v>45</v>
      </c>
      <c r="L25" s="14"/>
    </row>
    <row r="26" spans="2:12" hidden="1" x14ac:dyDescent="0.35">
      <c r="E26" s="5" t="s">
        <v>37</v>
      </c>
      <c r="F26" s="3">
        <v>120</v>
      </c>
      <c r="H26" s="9" t="s">
        <v>44</v>
      </c>
      <c r="I26" s="11">
        <v>1</v>
      </c>
      <c r="K26" s="13" t="s">
        <v>44</v>
      </c>
      <c r="L26" s="14">
        <v>2.5</v>
      </c>
    </row>
    <row r="27" spans="2:12" hidden="1" x14ac:dyDescent="0.35">
      <c r="E27" s="5" t="s">
        <v>34</v>
      </c>
      <c r="F27" s="3">
        <v>0</v>
      </c>
      <c r="H27" s="9" t="s">
        <v>34</v>
      </c>
      <c r="I27" s="11">
        <v>0</v>
      </c>
      <c r="K27" s="13" t="s">
        <v>46</v>
      </c>
      <c r="L27" s="14">
        <v>-2.5</v>
      </c>
    </row>
    <row r="28" spans="2:12" ht="145" hidden="1" x14ac:dyDescent="0.35">
      <c r="E28" s="5" t="s">
        <v>16</v>
      </c>
      <c r="F28" s="15" t="s">
        <v>36</v>
      </c>
      <c r="H28" s="9" t="s">
        <v>16</v>
      </c>
      <c r="I28" s="16" t="s">
        <v>43</v>
      </c>
      <c r="K28" s="13" t="s">
        <v>16</v>
      </c>
      <c r="L28" s="17" t="s">
        <v>47</v>
      </c>
    </row>
    <row r="29" spans="2:12" hidden="1" x14ac:dyDescent="0.35"/>
  </sheetData>
  <mergeCells count="2">
    <mergeCell ref="E4:G4"/>
    <mergeCell ref="I4:J4"/>
  </mergeCells>
  <phoneticPr fontId="3" type="noConversion"/>
  <hyperlinks>
    <hyperlink ref="L28" r:id="rId1" xr:uid="{99EF6167-3EE9-4E4F-85E1-A61A530FED0C}"/>
    <hyperlink ref="I28" r:id="rId2" xr:uid="{9166AF97-1530-4933-9793-972BFEEB8D48}"/>
    <hyperlink ref="F28" r:id="rId3" xr:uid="{F727CF27-358D-4255-BF3A-1F94B00AE13B}"/>
  </hyperlinks>
  <pageMargins left="0.7" right="0.7" top="0.75" bottom="0.75" header="0.3" footer="0.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B496-7686-42E3-9EEA-786BF00A1B33}">
  <dimension ref="B2:F6"/>
  <sheetViews>
    <sheetView showGridLines="0" tabSelected="1" workbookViewId="0">
      <selection activeCell="J7" sqref="J7"/>
    </sheetView>
  </sheetViews>
  <sheetFormatPr defaultRowHeight="14.5" x14ac:dyDescent="0.35"/>
  <cols>
    <col min="1" max="1" width="3.54296875" customWidth="1"/>
    <col min="2" max="2" width="15" customWidth="1"/>
    <col min="3" max="3" width="19.08984375" customWidth="1"/>
    <col min="4" max="4" width="37.7265625" style="1" customWidth="1"/>
    <col min="5" max="5" width="10.81640625" customWidth="1"/>
  </cols>
  <sheetData>
    <row r="2" spans="2:6" ht="21" x14ac:dyDescent="0.5">
      <c r="B2" s="18" t="s">
        <v>56</v>
      </c>
    </row>
    <row r="4" spans="2:6" x14ac:dyDescent="0.35">
      <c r="B4" t="s">
        <v>57</v>
      </c>
      <c r="C4" t="s">
        <v>58</v>
      </c>
      <c r="D4" s="1" t="s">
        <v>61</v>
      </c>
      <c r="E4" t="s">
        <v>59</v>
      </c>
      <c r="F4" t="s">
        <v>49</v>
      </c>
    </row>
    <row r="5" spans="2:6" ht="72.5" x14ac:dyDescent="0.35">
      <c r="B5" t="s">
        <v>0</v>
      </c>
      <c r="C5">
        <v>5</v>
      </c>
      <c r="D5" s="25" t="s">
        <v>78</v>
      </c>
      <c r="E5" t="s">
        <v>71</v>
      </c>
      <c r="F5">
        <v>1</v>
      </c>
    </row>
    <row r="6" spans="2:6" ht="101.5" x14ac:dyDescent="0.35">
      <c r="B6" t="s">
        <v>3</v>
      </c>
      <c r="C6">
        <v>2</v>
      </c>
      <c r="D6" s="1" t="s">
        <v>79</v>
      </c>
      <c r="E6" t="s">
        <v>60</v>
      </c>
      <c r="F6">
        <v>0.5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0BE9-9C92-4AF4-B47F-01C6AE899842}">
  <dimension ref="B2:E6"/>
  <sheetViews>
    <sheetView workbookViewId="0">
      <selection activeCell="C13" sqref="C13"/>
    </sheetView>
  </sheetViews>
  <sheetFormatPr defaultRowHeight="14.5" x14ac:dyDescent="0.35"/>
  <cols>
    <col min="2" max="2" width="20.26953125" bestFit="1" customWidth="1"/>
    <col min="3" max="3" width="40.54296875" customWidth="1"/>
    <col min="5" max="5" width="71.81640625" customWidth="1"/>
  </cols>
  <sheetData>
    <row r="2" spans="2:5" ht="21" x14ac:dyDescent="0.5">
      <c r="B2" s="18" t="s">
        <v>99</v>
      </c>
    </row>
    <row r="4" spans="2:5" x14ac:dyDescent="0.35">
      <c r="B4" s="1" t="s">
        <v>57</v>
      </c>
      <c r="C4" s="1" t="s">
        <v>91</v>
      </c>
      <c r="D4" s="1" t="s">
        <v>49</v>
      </c>
      <c r="E4" s="1" t="s">
        <v>16</v>
      </c>
    </row>
    <row r="5" spans="2:5" ht="101.5" x14ac:dyDescent="0.35">
      <c r="B5" s="1" t="s">
        <v>5</v>
      </c>
      <c r="C5" s="1" t="s">
        <v>97</v>
      </c>
      <c r="D5" s="1">
        <v>0.68720000000000003</v>
      </c>
      <c r="E5" s="28" t="s">
        <v>92</v>
      </c>
    </row>
    <row r="6" spans="2:5" ht="161" customHeight="1" x14ac:dyDescent="0.35">
      <c r="B6" s="1" t="s">
        <v>90</v>
      </c>
      <c r="C6" s="1" t="s">
        <v>96</v>
      </c>
      <c r="D6" s="1">
        <v>0.4</v>
      </c>
      <c r="E6" s="1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1.a</vt:lpstr>
      <vt:lpstr>1.b</vt:lpstr>
      <vt:lpstr>1.c</vt:lpstr>
      <vt:lpstr>2.a</vt:lpstr>
      <vt:lpstr>2.b</vt:lpstr>
      <vt:lpstr>2.c</vt:lpstr>
      <vt:lpstr>2.d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Yu-Ting Lan</dc:creator>
  <cp:lastModifiedBy>Yu-Ting Lan</cp:lastModifiedBy>
  <dcterms:created xsi:type="dcterms:W3CDTF">2025-05-03T08:20:05Z</dcterms:created>
  <dcterms:modified xsi:type="dcterms:W3CDTF">2025-12-06T19:03:48Z</dcterms:modified>
</cp:coreProperties>
</file>